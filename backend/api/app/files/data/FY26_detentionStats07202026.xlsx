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xl/calcChain.xml" ContentType="application/vnd.openxmlformats-officedocument.spreadsheetml.calcChain+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icegov.sharepoint.com/sites/osc/stu/Taskings/Reoccurring Reports/Bi-Weekly/ICE Detention Statistics for ICE.gov/FY2026/20260713/Final/"/>
    </mc:Choice>
  </mc:AlternateContent>
  <xr:revisionPtr revIDLastSave="0" documentId="8_{68C4916E-4E3E-4E49-B076-B931655534AC}" xr6:coauthVersionLast="47" xr6:coauthVersionMax="47" xr10:uidLastSave="{00000000-0000-0000-0000-000000000000}"/>
  <bookViews>
    <workbookView xWindow="28680" yWindow="-120" windowWidth="29040" windowHeight="15720" tabRatio="668" activeTab="1"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FY26'!$A$10:$AA$218</definedName>
    <definedName name="_xlnm.Print_Area" localSheetId="2">'Detention FY26'!$A$1:$V$137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34" l="1"/>
  <c r="T6" i="34"/>
  <c r="S6" i="34"/>
  <c r="R6" i="34"/>
  <c r="Q6" i="34"/>
  <c r="P6" i="34"/>
  <c r="O6" i="34"/>
  <c r="N6" i="34"/>
  <c r="M6" i="34"/>
  <c r="BO48" i="32"/>
  <c r="BM48" i="32"/>
  <c r="BB48" i="32"/>
  <c r="AY48" i="32"/>
  <c r="AW48" i="32"/>
  <c r="AL48" i="32"/>
  <c r="AI48" i="32"/>
  <c r="AG48" i="32"/>
  <c r="V48" i="32"/>
  <c r="S48" i="32"/>
  <c r="Q48" i="32"/>
  <c r="F48" i="32"/>
  <c r="C48" i="32"/>
  <c r="BO47" i="32"/>
  <c r="BN47" i="32"/>
  <c r="BM47" i="32"/>
  <c r="BL47" i="32"/>
  <c r="BK47" i="32"/>
  <c r="BJ47" i="32"/>
  <c r="BI47" i="32"/>
  <c r="BH47" i="32"/>
  <c r="BG47" i="32"/>
  <c r="BF47" i="32"/>
  <c r="BE47" i="32"/>
  <c r="BD47" i="32"/>
  <c r="BC47" i="32"/>
  <c r="BB47" i="32"/>
  <c r="BA47" i="32"/>
  <c r="AZ47" i="32"/>
  <c r="AZ48" i="32" s="1"/>
  <c r="AY47" i="32"/>
  <c r="AX47" i="32"/>
  <c r="AW47" i="32"/>
  <c r="AV47" i="32"/>
  <c r="AU47" i="32"/>
  <c r="AT47" i="32"/>
  <c r="AS47" i="32"/>
  <c r="AR47" i="32"/>
  <c r="AQ47" i="32"/>
  <c r="AP47" i="32"/>
  <c r="AO47" i="32"/>
  <c r="AN47" i="32"/>
  <c r="AM47" i="32"/>
  <c r="AL47" i="32"/>
  <c r="AK47" i="32"/>
  <c r="AJ47" i="32"/>
  <c r="AJ48" i="32" s="1"/>
  <c r="AI47" i="32"/>
  <c r="AH47" i="32"/>
  <c r="AG47" i="32"/>
  <c r="AF47" i="32"/>
  <c r="AE47" i="32"/>
  <c r="AD47" i="32"/>
  <c r="AC47" i="32"/>
  <c r="AB47" i="32"/>
  <c r="AA47" i="32"/>
  <c r="Z47" i="32"/>
  <c r="Y47" i="32"/>
  <c r="X47" i="32"/>
  <c r="W47" i="32"/>
  <c r="V47" i="32"/>
  <c r="U47" i="32"/>
  <c r="T47" i="32"/>
  <c r="T48" i="32" s="1"/>
  <c r="S47" i="32"/>
  <c r="R47" i="32"/>
  <c r="Q47" i="32"/>
  <c r="P47" i="32"/>
  <c r="O47" i="32"/>
  <c r="N47" i="32"/>
  <c r="M47" i="32"/>
  <c r="L47" i="32"/>
  <c r="K47" i="32"/>
  <c r="J47" i="32"/>
  <c r="I47" i="32"/>
  <c r="H47" i="32"/>
  <c r="G47" i="32"/>
  <c r="F47" i="32"/>
  <c r="E47" i="32"/>
  <c r="D47" i="32"/>
  <c r="D48" i="32" s="1"/>
  <c r="C47" i="32"/>
  <c r="B47"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O45" i="32"/>
  <c r="BN45" i="32"/>
  <c r="BM45" i="32"/>
  <c r="BL45" i="32"/>
  <c r="BK45" i="32"/>
  <c r="BJ45" i="32"/>
  <c r="BI45" i="32"/>
  <c r="BH45" i="32"/>
  <c r="BG45" i="32"/>
  <c r="BF45" i="32"/>
  <c r="BE45" i="32"/>
  <c r="BD45" i="32"/>
  <c r="BD48" i="32" s="1"/>
  <c r="BC45" i="32"/>
  <c r="BB45" i="32"/>
  <c r="BA45" i="32"/>
  <c r="AZ45" i="32"/>
  <c r="AY45" i="32"/>
  <c r="AX45" i="32"/>
  <c r="AW45" i="32"/>
  <c r="AV45" i="32"/>
  <c r="AU45" i="32"/>
  <c r="AT45" i="32"/>
  <c r="AS45" i="32"/>
  <c r="AR45" i="32"/>
  <c r="AQ45" i="32"/>
  <c r="AP45" i="32"/>
  <c r="AO45" i="32"/>
  <c r="AN45" i="32"/>
  <c r="AN48" i="32" s="1"/>
  <c r="AM45" i="32"/>
  <c r="AL45" i="32"/>
  <c r="AK45" i="32"/>
  <c r="AJ45" i="32"/>
  <c r="AI45" i="32"/>
  <c r="AH45" i="32"/>
  <c r="AG45" i="32"/>
  <c r="AF45" i="32"/>
  <c r="AE45" i="32"/>
  <c r="AD45" i="32"/>
  <c r="AC45" i="32"/>
  <c r="AB45" i="32"/>
  <c r="AA45" i="32"/>
  <c r="Z45" i="32"/>
  <c r="Y45" i="32"/>
  <c r="X45" i="32"/>
  <c r="X48" i="32" s="1"/>
  <c r="W45" i="32"/>
  <c r="V45" i="32"/>
  <c r="U45" i="32"/>
  <c r="T45" i="32"/>
  <c r="S45" i="32"/>
  <c r="R45" i="32"/>
  <c r="Q45" i="32"/>
  <c r="P45" i="32"/>
  <c r="O45" i="32"/>
  <c r="N45" i="32"/>
  <c r="M45" i="32"/>
  <c r="L45" i="32"/>
  <c r="K45" i="32"/>
  <c r="J45" i="32"/>
  <c r="I45" i="32"/>
  <c r="H45" i="32"/>
  <c r="H48" i="32" s="1"/>
  <c r="G45" i="32"/>
  <c r="F45" i="32"/>
  <c r="E45" i="32"/>
  <c r="D45" i="32"/>
  <c r="C45" i="32"/>
  <c r="B45" i="32"/>
  <c r="BO44" i="32"/>
  <c r="BN44" i="32"/>
  <c r="BN48" i="32" s="1"/>
  <c r="BM44" i="32"/>
  <c r="BL44" i="32"/>
  <c r="BL48" i="32" s="1"/>
  <c r="BK44" i="32"/>
  <c r="BK48" i="32" s="1"/>
  <c r="BJ44" i="32"/>
  <c r="BJ48" i="32" s="1"/>
  <c r="BI44" i="32"/>
  <c r="BI48" i="32" s="1"/>
  <c r="BH44" i="32"/>
  <c r="BH48" i="32" s="1"/>
  <c r="BG44" i="32"/>
  <c r="BG48" i="32" s="1"/>
  <c r="BF44" i="32"/>
  <c r="BF48" i="32" s="1"/>
  <c r="BE44" i="32"/>
  <c r="BE48" i="32" s="1"/>
  <c r="BD44" i="32"/>
  <c r="BC44" i="32"/>
  <c r="BC48" i="32" s="1"/>
  <c r="BB44" i="32"/>
  <c r="BA44" i="32"/>
  <c r="BA48" i="32" s="1"/>
  <c r="AZ44" i="32"/>
  <c r="AY44" i="32"/>
  <c r="AX44" i="32"/>
  <c r="AX48" i="32" s="1"/>
  <c r="AW44" i="32"/>
  <c r="AV44" i="32"/>
  <c r="AV48" i="32" s="1"/>
  <c r="AU44" i="32"/>
  <c r="AU48" i="32" s="1"/>
  <c r="AT44" i="32"/>
  <c r="AT48" i="32" s="1"/>
  <c r="AS44" i="32"/>
  <c r="AS48" i="32" s="1"/>
  <c r="AR44" i="32"/>
  <c r="AR48" i="32" s="1"/>
  <c r="AQ44" i="32"/>
  <c r="AQ48" i="32" s="1"/>
  <c r="AP44" i="32"/>
  <c r="AP48" i="32" s="1"/>
  <c r="AO44" i="32"/>
  <c r="AO48" i="32" s="1"/>
  <c r="AN44" i="32"/>
  <c r="AM44" i="32"/>
  <c r="AM48" i="32" s="1"/>
  <c r="AL44" i="32"/>
  <c r="AK44" i="32"/>
  <c r="AK48" i="32" s="1"/>
  <c r="AJ44" i="32"/>
  <c r="AI44" i="32"/>
  <c r="AH44" i="32"/>
  <c r="AH48" i="32" s="1"/>
  <c r="AG44" i="32"/>
  <c r="AF44" i="32"/>
  <c r="AF48" i="32" s="1"/>
  <c r="AE44" i="32"/>
  <c r="AE48" i="32" s="1"/>
  <c r="AD44" i="32"/>
  <c r="AD48" i="32" s="1"/>
  <c r="AC44" i="32"/>
  <c r="AC48" i="32" s="1"/>
  <c r="AB44" i="32"/>
  <c r="AB48" i="32" s="1"/>
  <c r="AA44" i="32"/>
  <c r="AA48" i="32" s="1"/>
  <c r="Z44" i="32"/>
  <c r="Z48" i="32" s="1"/>
  <c r="Y44" i="32"/>
  <c r="Y48" i="32" s="1"/>
  <c r="X44" i="32"/>
  <c r="W44" i="32"/>
  <c r="W48" i="32" s="1"/>
  <c r="V44" i="32"/>
  <c r="U44" i="32"/>
  <c r="U48" i="32" s="1"/>
  <c r="T44" i="32"/>
  <c r="S44" i="32"/>
  <c r="R44" i="32"/>
  <c r="R48" i="32" s="1"/>
  <c r="Q44" i="32"/>
  <c r="P44" i="32"/>
  <c r="P48" i="32" s="1"/>
  <c r="O44" i="32"/>
  <c r="O48" i="32" s="1"/>
  <c r="N44" i="32"/>
  <c r="N48" i="32" s="1"/>
  <c r="M44" i="32"/>
  <c r="M48" i="32" s="1"/>
  <c r="L44" i="32"/>
  <c r="L48" i="32" s="1"/>
  <c r="K44" i="32"/>
  <c r="K48" i="32" s="1"/>
  <c r="J44" i="32"/>
  <c r="J48" i="32" s="1"/>
  <c r="I44" i="32"/>
  <c r="I48" i="32" s="1"/>
  <c r="H44" i="32"/>
  <c r="G44" i="32"/>
  <c r="G48" i="32" s="1"/>
  <c r="F44" i="32"/>
  <c r="E44" i="32"/>
  <c r="E48" i="32" s="1"/>
  <c r="D44" i="32"/>
  <c r="C44" i="32"/>
  <c r="B44" i="32"/>
  <c r="B48" i="32" s="1"/>
  <c r="C165" i="31"/>
  <c r="O159" i="31"/>
  <c r="O158" i="31"/>
  <c r="O157" i="31"/>
  <c r="O156" i="31"/>
  <c r="O155" i="31"/>
  <c r="O154" i="31"/>
  <c r="N150" i="31"/>
  <c r="N149" i="31"/>
  <c r="N148" i="31"/>
  <c r="O90" i="31"/>
  <c r="O89" i="31"/>
  <c r="O88" i="31"/>
  <c r="N87" i="31"/>
  <c r="M87" i="31"/>
  <c r="O87" i="31" s="1"/>
  <c r="O86" i="31"/>
  <c r="O85" i="31"/>
  <c r="O84" i="31"/>
  <c r="N83" i="31"/>
  <c r="M83" i="31"/>
  <c r="O83" i="31" s="1"/>
  <c r="O82" i="31"/>
  <c r="O81" i="31"/>
  <c r="O80" i="31"/>
  <c r="N79" i="31"/>
  <c r="M79" i="31"/>
  <c r="O79" i="31" s="1"/>
  <c r="O78" i="31"/>
  <c r="O77" i="31"/>
  <c r="O76" i="31"/>
  <c r="N75" i="31"/>
  <c r="M75" i="31"/>
  <c r="O75" i="31" s="1"/>
  <c r="O74" i="31"/>
  <c r="O73" i="31"/>
  <c r="O72" i="31"/>
  <c r="N71" i="31"/>
  <c r="M71" i="31"/>
  <c r="O71" i="31" s="1"/>
  <c r="O70" i="31"/>
  <c r="O69" i="31"/>
  <c r="O68" i="31"/>
  <c r="N67" i="31"/>
  <c r="M67" i="31"/>
  <c r="O67" i="31" s="1"/>
  <c r="O66" i="31"/>
  <c r="O65" i="31"/>
  <c r="O64" i="31"/>
  <c r="N63" i="31"/>
  <c r="M63" i="31"/>
  <c r="O63" i="31" s="1"/>
  <c r="O62" i="31"/>
  <c r="O61" i="31"/>
  <c r="O60" i="31"/>
  <c r="N59" i="31"/>
  <c r="M59" i="31"/>
  <c r="O59" i="31" s="1"/>
  <c r="O58" i="31"/>
  <c r="O57" i="31"/>
  <c r="O56" i="31"/>
  <c r="O55" i="31"/>
  <c r="N55" i="31"/>
  <c r="M55" i="31"/>
  <c r="O54" i="31"/>
  <c r="O53" i="31"/>
  <c r="O52" i="31"/>
  <c r="N51" i="31"/>
  <c r="M51" i="31"/>
  <c r="O51" i="31" s="1"/>
  <c r="O50" i="31"/>
  <c r="O49" i="31"/>
  <c r="O48" i="31"/>
  <c r="N47" i="31"/>
  <c r="M47" i="31"/>
  <c r="O47" i="31" s="1"/>
  <c r="O46" i="31"/>
  <c r="O45" i="31"/>
  <c r="O41" i="31" s="1"/>
  <c r="O44" i="31"/>
  <c r="N43" i="31"/>
  <c r="M43" i="31"/>
  <c r="O43" i="31" s="1"/>
  <c r="O42" i="31"/>
  <c r="O40" i="31"/>
  <c r="O39" i="31"/>
  <c r="N39" i="31"/>
  <c r="M39" i="31"/>
  <c r="N38" i="31"/>
  <c r="M38" i="31"/>
  <c r="L38" i="31"/>
  <c r="K38" i="31"/>
  <c r="J38" i="31"/>
  <c r="I38" i="31"/>
  <c r="H38" i="31"/>
  <c r="G38" i="31"/>
  <c r="F38" i="31"/>
  <c r="E38" i="31"/>
  <c r="D38" i="31"/>
  <c r="C38" i="31"/>
  <c r="O38" i="31" s="1"/>
  <c r="E31" i="31"/>
  <c r="E30" i="31"/>
  <c r="J29" i="31"/>
  <c r="D29" i="31"/>
  <c r="C29" i="31"/>
  <c r="B29" i="31"/>
  <c r="E29" i="31" s="1"/>
  <c r="V22" i="31"/>
  <c r="V21" i="31"/>
  <c r="U20" i="31"/>
  <c r="T20" i="31"/>
  <c r="S20" i="31"/>
  <c r="R20" i="31"/>
  <c r="Q20" i="31"/>
  <c r="P20" i="31"/>
  <c r="V20" i="31" s="1"/>
  <c r="O20" i="31"/>
  <c r="N20" i="31"/>
  <c r="M20" i="31"/>
  <c r="L20" i="31"/>
  <c r="K20" i="31"/>
  <c r="J20" i="31"/>
  <c r="D20" i="31"/>
  <c r="B20" i="31"/>
  <c r="F20" i="31" s="1"/>
  <c r="D14" i="31"/>
  <c r="D13" i="31"/>
  <c r="D12" i="31"/>
  <c r="D11" i="31"/>
  <c r="D10" i="31" s="1"/>
  <c r="P10" i="31"/>
  <c r="C10" i="31"/>
  <c r="B10" i="31"/>
  <c r="A23" i="30"/>
  <c r="E20" i="31" l="1"/>
  <c r="C20" i="31"/>
</calcChain>
</file>

<file path=xl/sharedStrings.xml><?xml version="1.0" encoding="utf-8"?>
<sst xmlns="http://schemas.openxmlformats.org/spreadsheetml/2006/main" count="4136" uniqueCount="1439">
  <si>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</si>
  <si>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</si>
  <si>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</si>
  <si>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</si>
  <si>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</si>
  <si>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</si>
  <si>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</si>
  <si>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</si>
  <si>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07/09/2026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</si>
  <si>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</si>
  <si>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</si>
  <si>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</si>
  <si>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</si>
  <si>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</si>
  <si>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</si>
  <si>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</si>
  <si>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</si>
  <si>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</si>
  <si>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</si>
  <si>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</si>
  <si>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</si>
  <si>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</si>
  <si>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</si>
  <si>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</si>
  <si>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</si>
  <si>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</si>
  <si>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</si>
  <si>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</si>
  <si>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</si>
  <si>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</si>
  <si>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</si>
  <si>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</si>
  <si>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</si>
  <si>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</si>
  <si>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</si>
  <si>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</si>
  <si>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</si>
  <si>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</si>
  <si>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</si>
  <si>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</si>
  <si>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</si>
  <si>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</si>
  <si>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</si>
  <si>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</si>
  <si>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</si>
  <si>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</si>
  <si>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</si>
  <si>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</si>
  <si>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39120</t>
  </si>
  <si>
    <t>NOL</t>
  </si>
  <si>
    <t>DIGSA</t>
  </si>
  <si>
    <t>Male</t>
  </si>
  <si>
    <t>ODO</t>
  </si>
  <si>
    <t>PBNDS 2011 - 2016 Revisions</t>
  </si>
  <si>
    <t>Pass</t>
  </si>
  <si>
    <t>ADELANTO ICE PROCESSING CENTER</t>
  </si>
  <si>
    <t>10250 RANCHO ROAD</t>
  </si>
  <si>
    <t>ADELANTO</t>
  </si>
  <si>
    <t>CA</t>
  </si>
  <si>
    <t>92301</t>
  </si>
  <si>
    <t>LOS</t>
  </si>
  <si>
    <t>CDF</t>
  </si>
  <si>
    <t>ALEXANDRIA STAGING FACILITY</t>
  </si>
  <si>
    <t>96 GEORGE THOMPSON DR.</t>
  </si>
  <si>
    <t>ALEXANDRIA</t>
  </si>
  <si>
    <t>LA</t>
  </si>
  <si>
    <t>71303</t>
  </si>
  <si>
    <t>STAGING</t>
  </si>
  <si>
    <t>ALLEN PARISH PUBLIC SAFETY COMPLEX</t>
  </si>
  <si>
    <t>7340 HIGHWAY 26 WEST</t>
  </si>
  <si>
    <t>OBERLIN</t>
  </si>
  <si>
    <t>70655</t>
  </si>
  <si>
    <t>IGSA</t>
  </si>
  <si>
    <t>ANCHORAGE CORRECTIONAL COMPLEX</t>
  </si>
  <si>
    <t>1400 E. 4TH AVE</t>
  </si>
  <si>
    <t>ANCHORAGE</t>
  </si>
  <si>
    <t>AK</t>
  </si>
  <si>
    <t>99501</t>
  </si>
  <si>
    <t>SEA</t>
  </si>
  <si>
    <t>USMS IGA</t>
  </si>
  <si>
    <t>ORSA</t>
  </si>
  <si>
    <t>ORSA NDS 2019</t>
  </si>
  <si>
    <t>BAKER CORRECTIONAL INSTITUTION</t>
  </si>
  <si>
    <t>20706 US 90 W</t>
  </si>
  <si>
    <t>SANDERSON</t>
  </si>
  <si>
    <t>FL</t>
  </si>
  <si>
    <t>32087</t>
  </si>
  <si>
    <t>MIA</t>
  </si>
  <si>
    <t>STATE</t>
  </si>
  <si>
    <t>BAKER COUNTY SHERIFF DEPT.</t>
  </si>
  <si>
    <t>1 SHERIFFS OFFICE DRIVE</t>
  </si>
  <si>
    <t>MACCLENNY</t>
  </si>
  <si>
    <t>32063</t>
  </si>
  <si>
    <t>Female/Male</t>
  </si>
  <si>
    <t>Scheduled FY26</t>
  </si>
  <si>
    <t>NDS 2019</t>
  </si>
  <si>
    <t>BALDWIN COUNTY CORRECTIONAL CENTER</t>
  </si>
  <si>
    <t>200 HAND AVE.</t>
  </si>
  <si>
    <t>BAY MINETTE</t>
  </si>
  <si>
    <t>AL</t>
  </si>
  <si>
    <t>36507</t>
  </si>
  <si>
    <t>FPBDS (MAY 2025)</t>
  </si>
  <si>
    <t>Fail</t>
  </si>
  <si>
    <t>BERLIN FED. CORR. INST.</t>
  </si>
  <si>
    <t>1 SUCCESS LOOP DR.</t>
  </si>
  <si>
    <t>BERLIN</t>
  </si>
  <si>
    <t>NH</t>
  </si>
  <si>
    <t>03570</t>
  </si>
  <si>
    <t>BOS</t>
  </si>
  <si>
    <t>BOP</t>
  </si>
  <si>
    <t>ODO OASIP</t>
  </si>
  <si>
    <t>FPBDS</t>
  </si>
  <si>
    <t>BLUEBONNET DETENTION FACILITY</t>
  </si>
  <si>
    <t>400 2ND STREET</t>
  </si>
  <si>
    <t>ANSON</t>
  </si>
  <si>
    <t>TX</t>
  </si>
  <si>
    <t>79501</t>
  </si>
  <si>
    <t>DAL</t>
  </si>
  <si>
    <t>BOONE COUNTY JAIL</t>
  </si>
  <si>
    <t>3020 CONRAD LANE</t>
  </si>
  <si>
    <t>BURLINGTON</t>
  </si>
  <si>
    <t>KY</t>
  </si>
  <si>
    <t>41005</t>
  </si>
  <si>
    <t>CHI</t>
  </si>
  <si>
    <t>BROOKLYN MDC</t>
  </si>
  <si>
    <t>100 29TH STREET</t>
  </si>
  <si>
    <t>BROOKLYN</t>
  </si>
  <si>
    <t>NY</t>
  </si>
  <si>
    <t>11232</t>
  </si>
  <si>
    <t>NYC</t>
  </si>
  <si>
    <t>BROWARD COUNTY JAIL</t>
  </si>
  <si>
    <t>555 SE 1ST AVENUE</t>
  </si>
  <si>
    <t>FT.LAUDERDALE</t>
  </si>
  <si>
    <t>33301</t>
  </si>
  <si>
    <t>BROWARD TRANSITIONAL CENTER</t>
  </si>
  <si>
    <t>3900 NORTH POWERLINE ROAD</t>
  </si>
  <si>
    <t>POMPANO BEACH</t>
  </si>
  <si>
    <t>33073</t>
  </si>
  <si>
    <t>Scheduled FY27</t>
  </si>
  <si>
    <t>BUFFALO SERVICE PROCESSING CENTER</t>
  </si>
  <si>
    <t>4250 FEDERAL DRIVE</t>
  </si>
  <si>
    <t>BATAVIA</t>
  </si>
  <si>
    <t>14020</t>
  </si>
  <si>
    <t>BUF</t>
  </si>
  <si>
    <t>SPC</t>
  </si>
  <si>
    <t>BURLEIGH COUNTY</t>
  </si>
  <si>
    <t>P.O. BOX 1416</t>
  </si>
  <si>
    <t>BISMARCK</t>
  </si>
  <si>
    <t>ND</t>
  </si>
  <si>
    <t>58502</t>
  </si>
  <si>
    <t>SPM</t>
  </si>
  <si>
    <t>BUTLER COUNTY JAIL</t>
  </si>
  <si>
    <t>705 HANOVER STREET</t>
  </si>
  <si>
    <t>HAMILTON</t>
  </si>
  <si>
    <t>OH</t>
  </si>
  <si>
    <t>45011</t>
  </si>
  <si>
    <t>DET</t>
  </si>
  <si>
    <t>CACHE COUNTY JAIL</t>
  </si>
  <si>
    <t>50 WEST 200 NORTH</t>
  </si>
  <si>
    <t>LOGAN</t>
  </si>
  <si>
    <t>UT</t>
  </si>
  <si>
    <t>84321</t>
  </si>
  <si>
    <t>SLC</t>
  </si>
  <si>
    <t>CALHOUN COUNTY CORRECTIONAL CENTER</t>
  </si>
  <si>
    <t>185 EAST MICHIGAN AVENUE</t>
  </si>
  <si>
    <t>BATTLE CREEK</t>
  </si>
  <si>
    <t>MI</t>
  </si>
  <si>
    <t>49014</t>
  </si>
  <si>
    <t>CALIFORNIA CITY IMMIGRATION PROCESSING CENTER</t>
  </si>
  <si>
    <t>22844 VIRGINIA BOULEVARD</t>
  </si>
  <si>
    <t>CALIFORNIA CITY</t>
  </si>
  <si>
    <t>93505</t>
  </si>
  <si>
    <t>SFR</t>
  </si>
  <si>
    <t>Pre-Occupancy</t>
  </si>
  <si>
    <t>CAMBRIA COUNTY PRISON</t>
  </si>
  <si>
    <t>425 MANOR DRIVE</t>
  </si>
  <si>
    <t>EBENSBURG</t>
  </si>
  <si>
    <t>PA</t>
  </si>
  <si>
    <t>15931</t>
  </si>
  <si>
    <t>PHI</t>
  </si>
  <si>
    <t>CAMPBELL CO DET CTR</t>
  </si>
  <si>
    <t>601 CENTRAL AVE</t>
  </si>
  <si>
    <t>NEWPORT</t>
  </si>
  <si>
    <t>41071</t>
  </si>
  <si>
    <t>CAROLINE DETENTION FACILITY</t>
  </si>
  <si>
    <t>11093 S.W. LEWIS MEMORIAL DRIVE</t>
  </si>
  <si>
    <t>BOWLING GREEN</t>
  </si>
  <si>
    <t>VA</t>
  </si>
  <si>
    <t>22427</t>
  </si>
  <si>
    <t>WAS</t>
  </si>
  <si>
    <t>CASCADE COUNTY JAIL, MT</t>
  </si>
  <si>
    <t>3800 ULM NORTH FRONTAGE ROAD</t>
  </si>
  <si>
    <t>GREAT FALLS</t>
  </si>
  <si>
    <t>MT</t>
  </si>
  <si>
    <t>59404</t>
  </si>
  <si>
    <t>CASS COUNTY JAIL</t>
  </si>
  <si>
    <t>336 MAIN STREET</t>
  </si>
  <si>
    <t>PLATTSMOUTH</t>
  </si>
  <si>
    <t>NE</t>
  </si>
  <si>
    <t>68048</t>
  </si>
  <si>
    <t>CCA, FLORENCE CORRECTIONAL CENTER</t>
  </si>
  <si>
    <t>1100 BOWLING ROAD</t>
  </si>
  <si>
    <t>FLORENCE</t>
  </si>
  <si>
    <t>AZ</t>
  </si>
  <si>
    <t>85232</t>
  </si>
  <si>
    <t>PHO</t>
  </si>
  <si>
    <t>USMS CDF</t>
  </si>
  <si>
    <t>CENTRAL LOUISIANA ICE PROCESSING CENTER (CLIPC)</t>
  </si>
  <si>
    <t>830 PINEHILL ROAD</t>
  </si>
  <si>
    <t>JENA</t>
  </si>
  <si>
    <t>71342</t>
  </si>
  <si>
    <t>CENTRAL VALLEY ANNEX</t>
  </si>
  <si>
    <t>254 TAYLOR AVE</t>
  </si>
  <si>
    <t>MCFARLAND</t>
  </si>
  <si>
    <t>93250</t>
  </si>
  <si>
    <t>CHARLOTTE COUNTY JAIL</t>
  </si>
  <si>
    <t>26601 AIRPORT RD</t>
  </si>
  <si>
    <t>PUNTA GORDA</t>
  </si>
  <si>
    <t>33982</t>
  </si>
  <si>
    <t>CHASE COUNTY JAIL</t>
  </si>
  <si>
    <t>301 SOUTH WALNUT STREET</t>
  </si>
  <si>
    <t>COTTONWOOD FALL</t>
  </si>
  <si>
    <t>KS</t>
  </si>
  <si>
    <t>66845</t>
  </si>
  <si>
    <t>CHIPPEWA COUNTY SSM</t>
  </si>
  <si>
    <t>325 COURT STREET</t>
  </si>
  <si>
    <t>SAULT STE MARIE</t>
  </si>
  <si>
    <t>49783</t>
  </si>
  <si>
    <t>CHRISTIAN COUNTY JAIL</t>
  </si>
  <si>
    <t>410 WEST 7TH STREET,</t>
  </si>
  <si>
    <t>HOPKINSVILLE</t>
  </si>
  <si>
    <t>42240</t>
  </si>
  <si>
    <t>CIBOLA COUNTY CORRECTIONAL CENTER</t>
  </si>
  <si>
    <t>2000 CIBOLA LOOP</t>
  </si>
  <si>
    <t>MILAN</t>
  </si>
  <si>
    <t>NM</t>
  </si>
  <si>
    <t>87021</t>
  </si>
  <si>
    <t>ELP</t>
  </si>
  <si>
    <t>CIMARRON CORRECTIONAL FACILITY</t>
  </si>
  <si>
    <t>3700 S. KINGS HWY</t>
  </si>
  <si>
    <t>CUSHING</t>
  </si>
  <si>
    <t>OK</t>
  </si>
  <si>
    <t>74023</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</si>
  <si>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</si>
  <si>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</si>
  <si>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</si>
  <si>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</si>
  <si>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</si>
  <si>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</si>
  <si>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</si>
  <si>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</si>
  <si>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</si>
  <si>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</si>
  <si>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</si>
  <si>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</si>
  <si>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</si>
  <si>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COASTAL BEND DETENTION FACILITY</t>
  </si>
  <si>
    <t>4909 FM 2826</t>
  </si>
  <si>
    <t>ROBSTOWN</t>
  </si>
  <si>
    <t>78380</t>
  </si>
  <si>
    <t>HLG</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</si>
  <si>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</si>
  <si>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</si>
  <si>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</si>
  <si>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</si>
  <si>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</si>
  <si>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</si>
  <si>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</si>
  <si>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</si>
  <si>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</si>
  <si>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</si>
  <si>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</si>
  <si>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</si>
  <si>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</si>
  <si>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DAKOTA COUNTY JAIL</t>
  </si>
  <si>
    <t>1601 BROADWAY</t>
  </si>
  <si>
    <t>DAKOTA CITY</t>
  </si>
  <si>
    <t>68731</t>
  </si>
  <si>
    <t>DAVIESS COUNTY DETENTION</t>
  </si>
  <si>
    <t>3337 HIGHWAY 144</t>
  </si>
  <si>
    <t>OWENSBORO</t>
  </si>
  <si>
    <t>42303</t>
  </si>
  <si>
    <t>DAVIS COUNTY</t>
  </si>
  <si>
    <t>800 WEST STATE STREET</t>
  </si>
  <si>
    <t>FARMINGTON</t>
  </si>
  <si>
    <t>84025</t>
  </si>
  <si>
    <t>DELANEY HALL DETENTION FACILITY</t>
  </si>
  <si>
    <t>451 DOREMUS AVENUE</t>
  </si>
  <si>
    <t>NEWARK</t>
  </si>
  <si>
    <t>NJ</t>
  </si>
  <si>
    <t>07105</t>
  </si>
  <si>
    <t>NEW</t>
  </si>
  <si>
    <t>DENVER CONTRACT DETENTION FACILITY</t>
  </si>
  <si>
    <t>3130 OAKLAND ST</t>
  </si>
  <si>
    <t>AURORA</t>
  </si>
  <si>
    <t>CO</t>
  </si>
  <si>
    <t>80010</t>
  </si>
  <si>
    <t>DEN</t>
  </si>
  <si>
    <t>DEPARTMENT OF CORRECTIONS HAGATNA</t>
  </si>
  <si>
    <t>203 ASPINAL AVE. PO BOX 3236</t>
  </si>
  <si>
    <t>HAGATNA</t>
  </si>
  <si>
    <t>GU</t>
  </si>
  <si>
    <t>96910</t>
  </si>
  <si>
    <t>DESERT VIEW ANNEX</t>
  </si>
  <si>
    <t>10450 RANCHO ROAD</t>
  </si>
  <si>
    <t>DIAMONDBACK CORR FACILITY</t>
  </si>
  <si>
    <t>1000 DIAMONDBACK ROAD</t>
  </si>
  <si>
    <t>WATONGA</t>
  </si>
  <si>
    <t>73772</t>
  </si>
  <si>
    <t>NDS 2025</t>
  </si>
  <si>
    <t>DILLEY IMMIGRATION PROCESSING CENTER</t>
  </si>
  <si>
    <t>300 EL RANCHO WAY</t>
  </si>
  <si>
    <t>DILLEY</t>
  </si>
  <si>
    <t>78017</t>
  </si>
  <si>
    <t>SNA</t>
  </si>
  <si>
    <t>FAMILY</t>
  </si>
  <si>
    <t>FRS</t>
  </si>
  <si>
    <t>DILLEY PROCESSING SINGLE ADULT FEMALE</t>
  </si>
  <si>
    <t>Female</t>
  </si>
  <si>
    <t>DODGE COUNTY JAIL</t>
  </si>
  <si>
    <t>215 WEST CENTRAL STREET</t>
  </si>
  <si>
    <t>JUNEAU</t>
  </si>
  <si>
    <t>WI</t>
  </si>
  <si>
    <t>53039</t>
  </si>
  <si>
    <t>DOUGLAS COUNTY</t>
  </si>
  <si>
    <t>1409 HAMMOND AVENUE</t>
  </si>
  <si>
    <t>SUPERIOR</t>
  </si>
  <si>
    <t>54880</t>
  </si>
  <si>
    <t>EAST HIDALGO DETENTION CENTER</t>
  </si>
  <si>
    <t>1330 HIGHWAY 107</t>
  </si>
  <si>
    <t>LA VILLA</t>
  </si>
  <si>
    <t>78562</t>
  </si>
  <si>
    <t>EDEN DETENTION CTR</t>
  </si>
  <si>
    <t>702 E BROADWAY ST</t>
  </si>
  <si>
    <t>EDEN</t>
  </si>
  <si>
    <t>76837</t>
  </si>
  <si>
    <t>EL PASO SERVICE PROCESSING CENTER</t>
  </si>
  <si>
    <t>8915 MONTANA AVE.</t>
  </si>
  <si>
    <t>EL PASO</t>
  </si>
  <si>
    <t>79925</t>
  </si>
  <si>
    <t>EL VALLE DETENTION FACILITY</t>
  </si>
  <si>
    <t>1800 INDUSTRIAL DRIVE</t>
  </si>
  <si>
    <t>RAYMONDVILLE</t>
  </si>
  <si>
    <t>78580</t>
  </si>
  <si>
    <t>ELIZABETH CONTRACT DETENTION FACILITY</t>
  </si>
  <si>
    <t>625 EVANS STREET</t>
  </si>
  <si>
    <t>ELIZABETH</t>
  </si>
  <si>
    <t>07201</t>
  </si>
  <si>
    <t>ELMORE COUNTY JAIL</t>
  </si>
  <si>
    <t>2255 E. 8TH NORTH</t>
  </si>
  <si>
    <t>MOUNTAIN HOME</t>
  </si>
  <si>
    <t>ID</t>
  </si>
  <si>
    <t>83647</t>
  </si>
  <si>
    <t>ELOY FEDERAL CONTRACT FACILITY</t>
  </si>
  <si>
    <t>1705 EAST HANNA RD.</t>
  </si>
  <si>
    <t>ELOY</t>
  </si>
  <si>
    <t>85131</t>
  </si>
  <si>
    <t>ERO EL PASO CAMP EAST MONTANA</t>
  </si>
  <si>
    <t>6920 DIGITAL RD</t>
  </si>
  <si>
    <t>79936</t>
  </si>
  <si>
    <t>ETOWAH COUNTY JAIL</t>
  </si>
  <si>
    <t>827 FORREST AVENUE</t>
  </si>
  <si>
    <t>GADSDEN</t>
  </si>
  <si>
    <t>35901</t>
  </si>
  <si>
    <t>NDS</t>
  </si>
  <si>
    <t>FARMVILLE DETENTION CENTER</t>
  </si>
  <si>
    <t>508 WATERWORKS ROAD</t>
  </si>
  <si>
    <t>FARMVILLE</t>
  </si>
  <si>
    <t>23901</t>
  </si>
  <si>
    <t>FAYETTE COUNTY DETENTION CENTER</t>
  </si>
  <si>
    <t>600 OLD FRANKFORD CR</t>
  </si>
  <si>
    <t>LEXINGTON</t>
  </si>
  <si>
    <t>40510</t>
  </si>
  <si>
    <t>FCI ATLANTA</t>
  </si>
  <si>
    <t>601 MCDONOUGH BOULEVARD, SE</t>
  </si>
  <si>
    <t>ATLANTA</t>
  </si>
  <si>
    <t>GA</t>
  </si>
  <si>
    <t>30315</t>
  </si>
  <si>
    <t>ATL</t>
  </si>
  <si>
    <t>FDC PHILADELPHIA</t>
  </si>
  <si>
    <t>700 ARCH ST.</t>
  </si>
  <si>
    <t>PHILADELPHIA</t>
  </si>
  <si>
    <t>19106</t>
  </si>
  <si>
    <t>FLAGLER COUNTY JAIL</t>
  </si>
  <si>
    <t>1002 JUSICE LANE</t>
  </si>
  <si>
    <t>BUNNELL</t>
  </si>
  <si>
    <t>32110</t>
  </si>
  <si>
    <t>FLORENCE SERVICE PROCESSING CENTER</t>
  </si>
  <si>
    <t>3250 NORTH PINAL PARKWAY</t>
  </si>
  <si>
    <t>85132</t>
  </si>
  <si>
    <t>FLORENCE STAGING FACILITY</t>
  </si>
  <si>
    <t>FLOYD COUNTY JAIL</t>
  </si>
  <si>
    <t>2526 NEW CALHOUN HWY</t>
  </si>
  <si>
    <t>ROME</t>
  </si>
  <si>
    <t>30161</t>
  </si>
  <si>
    <t>FOLKSTON ANNEX IPC</t>
  </si>
  <si>
    <t>3424 HWY 252 EAST</t>
  </si>
  <si>
    <t>FOLKSTON</t>
  </si>
  <si>
    <t>31537</t>
  </si>
  <si>
    <t>FOLKSTON D RAY ICE PROCESSING CTR</t>
  </si>
  <si>
    <t>3262 HIGHWAY 252</t>
  </si>
  <si>
    <t>FOLKSTON MAIN IPC</t>
  </si>
  <si>
    <t>3026 HWY 252 EAST</t>
  </si>
  <si>
    <t>FRANKLIN COUNTY JAIL</t>
  </si>
  <si>
    <t>625 FRANKLIN FARM LN</t>
  </si>
  <si>
    <t>CHAMBERSBURG</t>
  </si>
  <si>
    <t>17201</t>
  </si>
  <si>
    <t>FREEBORN COUNTY ADULT DETENTION CENTER</t>
  </si>
  <si>
    <t>411 SOUTH BROADWAY AVENUE</t>
  </si>
  <si>
    <t>ALBERT LEA</t>
  </si>
  <si>
    <t>56007</t>
  </si>
  <si>
    <t>FULTON CO JAIL INDIANA</t>
  </si>
  <si>
    <t>2006 SWEETGUM RD</t>
  </si>
  <si>
    <t>ROCHESTER</t>
  </si>
  <si>
    <t>46975</t>
  </si>
  <si>
    <t>GARVIN COUNTY DETENTION CENTER</t>
  </si>
  <si>
    <t>201 WEST GRANT AVENUE</t>
  </si>
  <si>
    <t>PAULS VALLEY</t>
  </si>
  <si>
    <t>73075</t>
  </si>
  <si>
    <t>GEAUGA COUNTY JAIL</t>
  </si>
  <si>
    <t>12450 MERRITT DR</t>
  </si>
  <si>
    <t>CHARDON</t>
  </si>
  <si>
    <t>44024</t>
  </si>
  <si>
    <t>GLADES COUNTY DETENTION CENTER</t>
  </si>
  <si>
    <t>1297 EAST SR 78</t>
  </si>
  <si>
    <t>MOORE HAVEN</t>
  </si>
  <si>
    <t>33471</t>
  </si>
  <si>
    <t>GOLDEN STATE ANNEX</t>
  </si>
  <si>
    <t>611 FRONTAGE RD</t>
  </si>
  <si>
    <t>GRAND FORKS COUNTY CORRECTIONAL FACILITY</t>
  </si>
  <si>
    <t>1701 NORTH WASHINGTON ST</t>
  </si>
  <si>
    <t>GRAND FORKS</t>
  </si>
  <si>
    <t>58203</t>
  </si>
  <si>
    <t>GRAYSON COUNTY JAIL</t>
  </si>
  <si>
    <t>320 SHAW STATION ROAD</t>
  </si>
  <si>
    <t>LEITCHFIELD</t>
  </si>
  <si>
    <t>42754</t>
  </si>
  <si>
    <t>GREENE COUNTY JAIL</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</si>
  <si>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</si>
  <si>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</si>
  <si>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</si>
  <si>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</si>
  <si>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</si>
  <si>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</si>
  <si>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</si>
  <si>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</si>
  <si>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</si>
  <si>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</si>
  <si>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</si>
  <si>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</si>
  <si>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</si>
  <si>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</si>
  <si>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</si>
  <si>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</si>
  <si>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</si>
  <si>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HENDERSON DETENTION</t>
  </si>
  <si>
    <t>18 E BASIC ROAD</t>
  </si>
  <si>
    <t>HENDERSON</t>
  </si>
  <si>
    <t>NV</t>
  </si>
  <si>
    <t>89015</t>
  </si>
  <si>
    <t>HONOLULU FEDERAL DETENTION CENTER</t>
  </si>
  <si>
    <t>351 ELLIOTT ST.</t>
  </si>
  <si>
    <t>HONOLULU</t>
  </si>
  <si>
    <t>HI</t>
  </si>
  <si>
    <t>96819</t>
  </si>
  <si>
    <t>HOPKINS COUNTY JAIL</t>
  </si>
  <si>
    <t>2250 LAFOON TRAIL</t>
  </si>
  <si>
    <t>MADISONVILLE</t>
  </si>
  <si>
    <t>42431</t>
  </si>
  <si>
    <t>HOUSTON CONTRACT DETENTION FACILITY</t>
  </si>
  <si>
    <t>15850 EXPORT PLAZA DRIVE</t>
  </si>
  <si>
    <t>HOUSTON</t>
  </si>
  <si>
    <t>77032</t>
  </si>
  <si>
    <t>HOU</t>
  </si>
  <si>
    <t>IAH SECURE ADULT DETENTION FACILITY (POLK)</t>
  </si>
  <si>
    <t>3400 FM 350 SOUTH</t>
  </si>
  <si>
    <t>LIVINGSTON</t>
  </si>
  <si>
    <t>77351</t>
  </si>
  <si>
    <t>IMPERIAL REGIONAL DETENTION FACILITY</t>
  </si>
  <si>
    <t>1572 GATEWAY</t>
  </si>
  <si>
    <t>CALEXICO</t>
  </si>
  <si>
    <t>92231</t>
  </si>
  <si>
    <t>SND</t>
  </si>
  <si>
    <t>IRWIN COUNTY DETENTION CENTER</t>
  </si>
  <si>
    <t>132 COTTON DRIVE</t>
  </si>
  <si>
    <t>OCILLA</t>
  </si>
  <si>
    <t>31772</t>
  </si>
  <si>
    <t>JACKSON PARISH CORRECTIONAL CENTER</t>
  </si>
  <si>
    <t>327 INDUSTRIAL DRIVE</t>
  </si>
  <si>
    <t>JONESBORO</t>
  </si>
  <si>
    <t>71251</t>
  </si>
  <si>
    <t>JEFFERSON COUNTY JAIL</t>
  </si>
  <si>
    <t>219 EAST FREMONT AVENUE</t>
  </si>
  <si>
    <t>RIGBY</t>
  </si>
  <si>
    <t>83442</t>
  </si>
  <si>
    <t>JOE CORLEY PROCESSING CTR</t>
  </si>
  <si>
    <t>500 HILBIG RD</t>
  </si>
  <si>
    <t>CONROE</t>
  </si>
  <si>
    <t>77301</t>
  </si>
  <si>
    <t>KANDIYOHI COUNTY JAIL</t>
  </si>
  <si>
    <t>2201 23RD ST NE</t>
  </si>
  <si>
    <t>WILLMAR</t>
  </si>
  <si>
    <t>56201</t>
  </si>
  <si>
    <t>KARNES COUNTY IMMIGRATION PROCESSING CENTER</t>
  </si>
  <si>
    <t>409 FM 1144</t>
  </si>
  <si>
    <t>KARNES CITY</t>
  </si>
  <si>
    <t>78118</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</si>
  <si>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</si>
  <si>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</si>
  <si>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</si>
  <si>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</si>
  <si>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</si>
  <si>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</si>
  <si>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</si>
  <si>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</si>
  <si>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</si>
  <si>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</si>
  <si>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</si>
  <si>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</si>
  <si>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</si>
  <si>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KROME NORTH SERVICE PROCESSING CENTER</t>
  </si>
  <si>
    <t>18201 SW 12TH ST</t>
  </si>
  <si>
    <t>MIAMI</t>
  </si>
  <si>
    <t>33194</t>
  </si>
  <si>
    <t>LA PAZ COUNTY ADULT DETENTION FACILITY</t>
  </si>
  <si>
    <t>1109 ARIZONA AVE.</t>
  </si>
  <si>
    <t>PARKER</t>
  </si>
  <si>
    <t>85344</t>
  </si>
  <si>
    <t>LA SALLE COUNTY REGIONAL DETENTION CENTER</t>
  </si>
  <si>
    <t>832 EAST TEXAS STATE HIGHWAY 44</t>
  </si>
  <si>
    <t>ENCINAL</t>
  </si>
  <si>
    <t>78019</t>
  </si>
  <si>
    <t>LAFAYETTE PARISH CORRECTIONAL CENTER</t>
  </si>
  <si>
    <t>916 LAFAYETTE STREET</t>
  </si>
  <si>
    <t>LAFAYETTE</t>
  </si>
  <si>
    <t>70501</t>
  </si>
  <si>
    <t>Preoccupancy</t>
  </si>
  <si>
    <t>LARAMIE COUNTY JAIL</t>
  </si>
  <si>
    <t>1910 PIONEER AVENUE</t>
  </si>
  <si>
    <t>CHEYENNE</t>
  </si>
  <si>
    <t>WY</t>
  </si>
  <si>
    <t>82001</t>
  </si>
  <si>
    <t>LAREDO PROCESSING CENTER</t>
  </si>
  <si>
    <t>4702 EAST SAUNDERS STREET</t>
  </si>
  <si>
    <t>LAREDO</t>
  </si>
  <si>
    <t>78041</t>
  </si>
  <si>
    <t>LAWRENCE COUNTY</t>
  </si>
  <si>
    <t>80 SHERMAN STREET</t>
  </si>
  <si>
    <t>DEADWOOD</t>
  </si>
  <si>
    <t>SD</t>
  </si>
  <si>
    <t>57732</t>
  </si>
  <si>
    <t>LEWISBURG US PENITENTIARY</t>
  </si>
  <si>
    <t>P.O. BOX 1000</t>
  </si>
  <si>
    <t>LEWISBURG</t>
  </si>
  <si>
    <t>17837</t>
  </si>
  <si>
    <t>LEXINGTON COUNTY JAIL</t>
  </si>
  <si>
    <t>521 GIBSON ROAD</t>
  </si>
  <si>
    <t>SC</t>
  </si>
  <si>
    <t>29072</t>
  </si>
  <si>
    <t xml:space="preserve">ODO </t>
  </si>
  <si>
    <t>LIBERTY COUNTY JAIL</t>
  </si>
  <si>
    <t>12499 NW POGO ST PO BOX 67</t>
  </si>
  <si>
    <t>BRISTOL</t>
  </si>
  <si>
    <t>32321</t>
  </si>
  <si>
    <t>LIMESTONE COUNTY DETENTION CENTER</t>
  </si>
  <si>
    <t>910 NORTH TYUS STREET</t>
  </si>
  <si>
    <t>GROESBECK</t>
  </si>
  <si>
    <t>76642</t>
  </si>
  <si>
    <t>LINCOLN COUNTY JAIL</t>
  </si>
  <si>
    <t>302 N JEFFERS</t>
  </si>
  <si>
    <t>NORTH PLATTE</t>
  </si>
  <si>
    <t>69101</t>
  </si>
  <si>
    <t>LINN COUNTY JAIL</t>
  </si>
  <si>
    <t>53 3RD AVENUE BRIDGE</t>
  </si>
  <si>
    <t>CEDAR RAPIDS</t>
  </si>
  <si>
    <t>52401</t>
  </si>
  <si>
    <t>LOGAN COUNTY JAIL</t>
  </si>
  <si>
    <t>216 S BROAD ST</t>
  </si>
  <si>
    <t>GUTHRIE</t>
  </si>
  <si>
    <t>73044</t>
  </si>
  <si>
    <t>LOUISIANA ICE PROCESSING</t>
  </si>
  <si>
    <t>18198 TUNICA TRACE BLDG E</t>
  </si>
  <si>
    <t>ANGOLA</t>
  </si>
  <si>
    <t>70712</t>
  </si>
  <si>
    <t>LUBBOCK COUNTY DETENTION CENTER</t>
  </si>
  <si>
    <t>811 MAIN STREET</t>
  </si>
  <si>
    <t>LUBBOCK</t>
  </si>
  <si>
    <t>79401</t>
  </si>
  <si>
    <t>MADISON COUNTY JAIL</t>
  </si>
  <si>
    <t>2935 HIGHWAY 51</t>
  </si>
  <si>
    <t>CANTON</t>
  </si>
  <si>
    <t>39046</t>
  </si>
  <si>
    <t>MAHONING COUNTY JAIL</t>
  </si>
  <si>
    <t>110 5TH AVE</t>
  </si>
  <si>
    <t>YOUNGSTOWN</t>
  </si>
  <si>
    <t>44503</t>
  </si>
  <si>
    <t>MARTIN COUNTY JAIL</t>
  </si>
  <si>
    <t>800 SOUTHEAST MONTEREY ROAD</t>
  </si>
  <si>
    <t>STUART</t>
  </si>
  <si>
    <t>34994</t>
  </si>
  <si>
    <t>MCCOOK DETENTION CENTER</t>
  </si>
  <si>
    <t>2309 N HIGHWAY 83</t>
  </si>
  <si>
    <t>MCCOOK</t>
  </si>
  <si>
    <t>69001</t>
  </si>
  <si>
    <t>MESA VERDE ICE PROCESSING CENTER</t>
  </si>
  <si>
    <t>425 GOLDEN STATE AVE</t>
  </si>
  <si>
    <t>BAKERSFIELD</t>
  </si>
  <si>
    <t>93301</t>
  </si>
  <si>
    <t>MIAMI CORRECTIONAL CENTER</t>
  </si>
  <si>
    <t>3038 WEST 850 SOUTH P.O. BOX 900</t>
  </si>
  <si>
    <t>BUNKERHILL</t>
  </si>
  <si>
    <t>46914</t>
  </si>
  <si>
    <t>MIAMI FEDERAL DETENTION</t>
  </si>
  <si>
    <t>33 NE 4 STREET</t>
  </si>
  <si>
    <t>33132</t>
  </si>
  <si>
    <t>MIDWEST REGIONAL RECEPTION CENTER</t>
  </si>
  <si>
    <t>100 HIGHWAY TERRACE</t>
  </si>
  <si>
    <t>LEAVENWORTH</t>
  </si>
  <si>
    <t>66048</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</si>
  <si>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</si>
  <si>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</si>
  <si>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</si>
  <si>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</si>
  <si>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</si>
  <si>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</si>
  <si>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</si>
  <si>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</si>
  <si>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</si>
  <si>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</si>
  <si>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</si>
  <si>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</si>
  <si>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</si>
  <si>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</si>
  <si>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</si>
  <si>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</si>
  <si>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</si>
  <si>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MONTGOMERY COUNTY JAIL</t>
  </si>
  <si>
    <t>PARK STREET</t>
  </si>
  <si>
    <t>FONDA</t>
  </si>
  <si>
    <t>12068</t>
  </si>
  <si>
    <t>MONTGOMERY ICE PROCESSING CENTER</t>
  </si>
  <si>
    <t>806 HILBIG RD</t>
  </si>
  <si>
    <t>MOSHANNON VALLEY PROCESSING CENTER</t>
  </si>
  <si>
    <t>555 GEO DRIVE</t>
  </si>
  <si>
    <t>PHILIPSBURG</t>
  </si>
  <si>
    <t>16866</t>
  </si>
  <si>
    <t>MUSCATINE COUNTY JAIL</t>
  </si>
  <si>
    <t>400 WALNUT STREET</t>
  </si>
  <si>
    <t>MUSCATINE</t>
  </si>
  <si>
    <t>52761</t>
  </si>
  <si>
    <t>NASSAU COUNTY CORRECTIONAL CENTER</t>
  </si>
  <si>
    <t>100 CARMAN AVENUE</t>
  </si>
  <si>
    <t>EAST MEADOW</t>
  </si>
  <si>
    <t>11554</t>
  </si>
  <si>
    <t>NATRONA COUNTY JAIL</t>
  </si>
  <si>
    <t>1100 BRUCE LANE</t>
  </si>
  <si>
    <t>CASPER</t>
  </si>
  <si>
    <t>82601</t>
  </si>
  <si>
    <t>NELSON COLEMAN CORRECTION</t>
  </si>
  <si>
    <t>5061 HIGHWAY 3127</t>
  </si>
  <si>
    <t>KILLONA</t>
  </si>
  <si>
    <t>70057</t>
  </si>
  <si>
    <t>NEVADA SOUTHERN DETENTION CENTER</t>
  </si>
  <si>
    <t>2190 EAST MESQUITE AVENUE</t>
  </si>
  <si>
    <t>PAHRUMP</t>
  </si>
  <si>
    <t>89060</t>
  </si>
  <si>
    <t>NEW HANOVER COUNTY JAIL</t>
  </si>
  <si>
    <t>3950 JUVENILE RD</t>
  </si>
  <si>
    <t>CASTLE HAYNE</t>
  </si>
  <si>
    <t>NC</t>
  </si>
  <si>
    <t>28429</t>
  </si>
  <si>
    <t>Preliminary</t>
  </si>
  <si>
    <t>NORTH LAKE CORRECTIONAL FACILITY</t>
  </si>
  <si>
    <t>1805 W 32ND ST</t>
  </si>
  <si>
    <t>BALDWIN</t>
  </si>
  <si>
    <t>49304</t>
  </si>
  <si>
    <t>NORTHEAST OHIO CORRECTIONAL CENTER</t>
  </si>
  <si>
    <t>2240 HUBBARD ROAD</t>
  </si>
  <si>
    <t>44505</t>
  </si>
  <si>
    <t>NORTHWEST ICE PROCESSING CENTER</t>
  </si>
  <si>
    <t>1623 E. J STREET</t>
  </si>
  <si>
    <t>TACOMA</t>
  </si>
  <si>
    <t>WA</t>
  </si>
  <si>
    <t>98421</t>
  </si>
  <si>
    <t>NORTHWEST REGIONAL CORRECTIONS CENTER</t>
  </si>
  <si>
    <t>816 MARIN AVE., SUITE 110</t>
  </si>
  <si>
    <t>CROOKSTON</t>
  </si>
  <si>
    <t>56716</t>
  </si>
  <si>
    <t>NORTHWEST STATE CORRECTIONAL CENTER</t>
  </si>
  <si>
    <t>3649 LOWER NEWTON ROAD</t>
  </si>
  <si>
    <t>SWANTON</t>
  </si>
  <si>
    <t>VT</t>
  </si>
  <si>
    <t>05488</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</si>
  <si>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</si>
  <si>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</si>
  <si>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</si>
  <si>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</si>
  <si>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</si>
  <si>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</si>
  <si>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</si>
  <si>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</si>
  <si>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</si>
  <si>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</si>
  <si>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</si>
  <si>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</si>
  <si>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OTAY MESA DETENTION CENTER</t>
  </si>
  <si>
    <t>7488 CALZADA DE LA FUENTE</t>
  </si>
  <si>
    <t>SAN DIEGO</t>
  </si>
  <si>
    <t>92154</t>
  </si>
  <si>
    <t>OTERO COUNTY PROCESSING CENTER</t>
  </si>
  <si>
    <t>26 MCGREGOR RANGE ROAD</t>
  </si>
  <si>
    <t>CHAPARRAL</t>
  </si>
  <si>
    <t>88081</t>
  </si>
  <si>
    <t>OZARK COUNTY SHERIFF'S OFFICE</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</si>
  <si>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</si>
  <si>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</si>
  <si>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</si>
  <si>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</si>
  <si>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</si>
  <si>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</si>
  <si>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</si>
  <si>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</si>
  <si>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</si>
  <si>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</si>
  <si>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</si>
  <si>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</si>
  <si>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</si>
  <si>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</si>
  <si>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</si>
  <si>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</si>
  <si>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</si>
  <si>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</si>
  <si>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</si>
  <si>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PIKE COUNTY JAIL</t>
  </si>
  <si>
    <t>175 PIKE COUNTY BOULEVARD</t>
  </si>
  <si>
    <t>LORDS VALLEY</t>
  </si>
  <si>
    <t>18428</t>
  </si>
  <si>
    <t>PINE PRAIRIE ICE PROCESSING CENTER</t>
  </si>
  <si>
    <t>1133 HAMPTON DUPRE ROAD</t>
  </si>
  <si>
    <t>PINE PRAIRIE</t>
  </si>
  <si>
    <t>70576</t>
  </si>
  <si>
    <t>PINELLAS COUNTY JAIL</t>
  </si>
  <si>
    <t>14400 49TH STREET NORTH</t>
  </si>
  <si>
    <t>CLEARWATER</t>
  </si>
  <si>
    <t>33762</t>
  </si>
  <si>
    <t>PLYMOUTH COUNTY CORRECTIONAL FACILITY</t>
  </si>
  <si>
    <t>26 LONG POND ROAD</t>
  </si>
  <si>
    <t>PLYMOUTH</t>
  </si>
  <si>
    <t>MA</t>
  </si>
  <si>
    <t>02360</t>
  </si>
  <si>
    <t>POLK COUNTY JAIL</t>
  </si>
  <si>
    <t>1985 NE 51ST PLACE</t>
  </si>
  <si>
    <t>DES MOINES</t>
  </si>
  <si>
    <t>50313</t>
  </si>
  <si>
    <t>PORT ISABEL SPC</t>
  </si>
  <si>
    <t>27991 BUENA VISTA BOULEVARD</t>
  </si>
  <si>
    <t>LOS FRESNOS</t>
  </si>
  <si>
    <t>78566</t>
  </si>
  <si>
    <t>POTTAWATTAMIE COUNTY JAIL</t>
  </si>
  <si>
    <t>1400 BIG LAKE ROAD</t>
  </si>
  <si>
    <t>COUNCIL BLUFFS</t>
  </si>
  <si>
    <t>51501</t>
  </si>
  <si>
    <t>PRAIRIELAND DETENTION CENTER</t>
  </si>
  <si>
    <t>1209 SUNFLOWER LN</t>
  </si>
  <si>
    <t>ALVARADO</t>
  </si>
  <si>
    <t>76009</t>
  </si>
  <si>
    <t>PUTNAM COUNTY SHERIFF</t>
  </si>
  <si>
    <t>421 E SPRING ST.</t>
  </si>
  <si>
    <t>COOKEVILLE</t>
  </si>
  <si>
    <t>38501</t>
  </si>
  <si>
    <t>RANDALL COUNTY JAIL</t>
  </si>
  <si>
    <t>9100 SOUTH GEORGIA STREET</t>
  </si>
  <si>
    <t>AMARILLO</t>
  </si>
  <si>
    <t>79118</t>
  </si>
  <si>
    <t>RICHWOOD CORRECTIONAL CENTER</t>
  </si>
  <si>
    <t>180 PINE BAYOU CIRCLE</t>
  </si>
  <si>
    <t>71202</t>
  </si>
  <si>
    <t>RIO GRANDE DETENTION CENTER</t>
  </si>
  <si>
    <t>1001 SAN RIO BOULEVARD</t>
  </si>
  <si>
    <t>78046</t>
  </si>
  <si>
    <t>RIVER CORRECTIONAL CENTER</t>
  </si>
  <si>
    <t>26362 HIGHWAY 15</t>
  </si>
  <si>
    <t>FERRIDAY</t>
  </si>
  <si>
    <t>71334</t>
  </si>
  <si>
    <t>RIVERSIDE REGIONAL JAIL</t>
  </si>
  <si>
    <t>1000 RIVER ROAD</t>
  </si>
  <si>
    <t>HOPEWELL</t>
  </si>
  <si>
    <t>23860</t>
  </si>
  <si>
    <t>ROBERT A DEYTON DETENTION FACILITY</t>
  </si>
  <si>
    <t>11866 HASTINGS BRIDGE ROAD P.O. BOX 429</t>
  </si>
  <si>
    <t>LOVEJOY</t>
  </si>
  <si>
    <t>30250</t>
  </si>
  <si>
    <t>ROCKINGHAM COUNTY JAIL</t>
  </si>
  <si>
    <t>25 SOUTH LIBERTY STREET</t>
  </si>
  <si>
    <t>HARRISONBURG</t>
  </si>
  <si>
    <t>22801</t>
  </si>
  <si>
    <t>SAIPAN DEPARTMENT OF CORRECTIONS (SUSUPE)</t>
  </si>
  <si>
    <t>VICENTE T. SEMAN BLDG, CIVIC CENTER</t>
  </si>
  <si>
    <t>SAIPAN</t>
  </si>
  <si>
    <t>MP</t>
  </si>
  <si>
    <t>96950</t>
  </si>
  <si>
    <t>SALT LAKE COUNTY METRO JAIL</t>
  </si>
  <si>
    <t>3415 SOUTH 900 WEST</t>
  </si>
  <si>
    <t>SALT LAKE CITY</t>
  </si>
  <si>
    <t>84119</t>
  </si>
  <si>
    <t>SAN JUAN STAGING</t>
  </si>
  <si>
    <t>651 FEDERAL DRIVE, SUITE 104</t>
  </si>
  <si>
    <t>GUAYNABO</t>
  </si>
  <si>
    <t>PR</t>
  </si>
  <si>
    <t>00965</t>
  </si>
  <si>
    <t>SAN LUIS REGIONAL DETENTION CENTER</t>
  </si>
  <si>
    <t>406 NORTH AVENUE D</t>
  </si>
  <si>
    <t>SAN LUIS</t>
  </si>
  <si>
    <t>85349</t>
  </si>
  <si>
    <t>SARPY COUNTY JAIL</t>
  </si>
  <si>
    <t>1208 GOLDEN GATE DRIVE</t>
  </si>
  <si>
    <t>PAPILLION</t>
  </si>
  <si>
    <t>68046</t>
  </si>
  <si>
    <t>Pending Final Report</t>
  </si>
  <si>
    <t>SAUK COUNTY SHERIFF</t>
  </si>
  <si>
    <t>1300 LANGE CT.</t>
  </si>
  <si>
    <t>BARABOO</t>
  </si>
  <si>
    <t>53913</t>
  </si>
  <si>
    <t>SCOTT COUNTY DET. FACILITY</t>
  </si>
  <si>
    <t>416 W 4TH ST</t>
  </si>
  <si>
    <t>DAVENPORT</t>
  </si>
  <si>
    <t>52801</t>
  </si>
  <si>
    <t>SEBASTIAN COUNTY DETENTION CENTER</t>
  </si>
  <si>
    <t>801 SOUTH A STREET</t>
  </si>
  <si>
    <t>FORT SMITH</t>
  </si>
  <si>
    <t>72901</t>
  </si>
  <si>
    <t>SENECA COUNTY JAIL</t>
  </si>
  <si>
    <t>3040 SOUTH STATE HIGHWAY 100</t>
  </si>
  <si>
    <t>TIFFIN</t>
  </si>
  <si>
    <t>44883</t>
  </si>
  <si>
    <t>SHERBURNE COUNTY JAIL</t>
  </si>
  <si>
    <t>13880 BUSINESS CENTER DRIVE</t>
  </si>
  <si>
    <t>ELK RIVER</t>
  </si>
  <si>
    <t>55330</t>
  </si>
  <si>
    <t>SIOUX COUNTY JAIL</t>
  </si>
  <si>
    <t>4363 IRONWOOD AVENUE</t>
  </si>
  <si>
    <t>ORANGE CITY</t>
  </si>
  <si>
    <t>51041</t>
  </si>
  <si>
    <t>SOUTH LOUISIANA ICE PROCESSING CENTER</t>
  </si>
  <si>
    <t>3843 STAGG AVENUE</t>
  </si>
  <si>
    <t>BASILE</t>
  </si>
  <si>
    <t>70515</t>
  </si>
  <si>
    <t>SOUTH TEXAS ICE PROCESSING CENTER</t>
  </si>
  <si>
    <t>566 VETERANS DRIVE</t>
  </si>
  <si>
    <t>PEARSALL</t>
  </si>
  <si>
    <t>78061</t>
  </si>
  <si>
    <t>ST. CLAIR COUNTY JAIL</t>
  </si>
  <si>
    <t>1170 MICHIGAN ROAD</t>
  </si>
  <si>
    <t>PORT HURON</t>
  </si>
  <si>
    <t>48060</t>
  </si>
  <si>
    <t>ST. LUCIE COUNTY JAIL</t>
  </si>
  <si>
    <t>900 N. ROCK RD.</t>
  </si>
  <si>
    <t>FORT PIERCE</t>
  </si>
  <si>
    <t>34945</t>
  </si>
  <si>
    <t>STE. GENEVIEVE COUNTY SHERIFF/JAIL</t>
  </si>
  <si>
    <t>5 BASLER DR.</t>
  </si>
  <si>
    <t>STE. GENEVIEVE</t>
  </si>
  <si>
    <t>63670</t>
  </si>
  <si>
    <t>STEWART DETENTION CENTER</t>
  </si>
  <si>
    <t>146 CCA ROAD</t>
  </si>
  <si>
    <t>LUMPKIN</t>
  </si>
  <si>
    <t>31815</t>
  </si>
  <si>
    <t>STRAFFORD COUNTY CORRECTIONS</t>
  </si>
  <si>
    <t>266 COUNTY FARM ROAD</t>
  </si>
  <si>
    <t>DOVER</t>
  </si>
  <si>
    <t>03820</t>
  </si>
  <si>
    <t>SWEETWATER COUNTY JAIL</t>
  </si>
  <si>
    <t>50140 UNITED STATES HIGHWAY 191 SOUTH</t>
  </si>
  <si>
    <t>ROCK SPRINGS</t>
  </si>
  <si>
    <t>82935</t>
  </si>
  <si>
    <t>T DON HUTTO DETENTION CENTER</t>
  </si>
  <si>
    <t>1001 WELCH STREET</t>
  </si>
  <si>
    <t>TAYLOR</t>
  </si>
  <si>
    <t>76574</t>
  </si>
  <si>
    <t>TOOELE COUNTY JAIL</t>
  </si>
  <si>
    <t>47 SOUTH MAIN STREET</t>
  </si>
  <si>
    <t>TOOELE</t>
  </si>
  <si>
    <t>84074</t>
  </si>
  <si>
    <t>TORRANCE COUNTY DETENTION FACILITY</t>
  </si>
  <si>
    <t>209 COUNTY ROAD 49</t>
  </si>
  <si>
    <t>ESTANCIA</t>
  </si>
  <si>
    <t>87016</t>
  </si>
  <si>
    <t>TULSA COUNTY JAIL (DAVID L. MOSS JUSTICE CTR)</t>
  </si>
  <si>
    <t>300 NORTH DENVER AVENUE</t>
  </si>
  <si>
    <t>TULSA</t>
  </si>
  <si>
    <t>74103</t>
  </si>
  <si>
    <t>TURNER GUILFORD KNIGHT (TGK) JAIL</t>
  </si>
  <si>
    <t>7000 NW 41ST ST.</t>
  </si>
  <si>
    <t>33166</t>
  </si>
  <si>
    <t>UINTA COUNTY JAIL</t>
  </si>
  <si>
    <t>77 COUNTY ROAD 109</t>
  </si>
  <si>
    <t>EVANSTON</t>
  </si>
  <si>
    <t>82930</t>
  </si>
  <si>
    <t>VAL VERDE CORRECTIONAL FACILITY</t>
  </si>
  <si>
    <t>253 FARM TO MARKET 2523</t>
  </si>
  <si>
    <t>DEL RIO</t>
  </si>
  <si>
    <t>78840</t>
  </si>
  <si>
    <t>VICTORIA COUNTY JAIL</t>
  </si>
  <si>
    <t>101 NORTH GLASS STREET</t>
  </si>
  <si>
    <t>VICTORIA</t>
  </si>
  <si>
    <t>77901</t>
  </si>
  <si>
    <t>WALTON COUNTY JAIL</t>
  </si>
  <si>
    <t>40 SHERIFF CIR</t>
  </si>
  <si>
    <t>DEFUNIAK SPRINGS</t>
  </si>
  <si>
    <t>32433</t>
  </si>
  <si>
    <t>WARD COUNTY JAIL</t>
  </si>
  <si>
    <t>P.O. BOX 907</t>
  </si>
  <si>
    <t>MINOT</t>
  </si>
  <si>
    <t>58702</t>
  </si>
  <si>
    <t>WASHINGTON COUNTY DETENTION CENTER</t>
  </si>
  <si>
    <t>1155 WEST CLYDESDALE DRIVE</t>
  </si>
  <si>
    <t>FAYETTEVILLE</t>
  </si>
  <si>
    <t>72701</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</si>
  <si>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</si>
  <si>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</si>
  <si>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</si>
  <si>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</si>
  <si>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</si>
  <si>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</si>
  <si>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</si>
  <si>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</si>
  <si>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</si>
  <si>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</si>
  <si>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</si>
  <si>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</si>
  <si>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WEBB COUNTY DETENTION CENTER (CCA)</t>
  </si>
  <si>
    <t>9998 SOUTH HIGHWAY 83</t>
  </si>
  <si>
    <t>WEBER COUNTY JAIL</t>
  </si>
  <si>
    <t>721 WEST 12TH STREET</t>
  </si>
  <si>
    <t>OGDEN</t>
  </si>
  <si>
    <t>84404</t>
  </si>
  <si>
    <t>WESTERN TENNESSEE DETENTION FACILITY</t>
  </si>
  <si>
    <t>6299 FINDE NAIFEH DRIVE</t>
  </si>
  <si>
    <t>MASON</t>
  </si>
  <si>
    <t>38049</t>
  </si>
  <si>
    <t>WINN CORRECTIONAL CENTER</t>
  </si>
  <si>
    <t>560 GUM SPRING ROAD</t>
  </si>
  <si>
    <t>WINNFIELD</t>
  </si>
  <si>
    <t>71483</t>
  </si>
  <si>
    <t>WOODBURY COUNTY JAIL</t>
  </si>
  <si>
    <t>407 7TH STREET</t>
  </si>
  <si>
    <t>SIOUX CITY</t>
  </si>
  <si>
    <t>51101</t>
  </si>
  <si>
    <t>WYATT DETENTION CENTER</t>
  </si>
  <si>
    <t>950 HIGH STREET</t>
  </si>
  <si>
    <t>CENTRAL FALLS</t>
  </si>
  <si>
    <t>RI</t>
  </si>
  <si>
    <t>02863</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</si>
  <si>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</si>
  <si>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</si>
  <si>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</si>
  <si>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</si>
  <si>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</si>
  <si>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</si>
  <si>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</si>
  <si>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</si>
  <si>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</si>
  <si>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</si>
  <si>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</si>
  <si>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</si>
  <si>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</si>
  <si>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Grand Total</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</si>
  <si>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</si>
  <si>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</si>
  <si>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</si>
  <si>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</si>
  <si>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</si>
  <si>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</si>
  <si>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</si>
  <si>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</si>
  <si>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</si>
  <si>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</si>
  <si>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</si>
  <si>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</si>
  <si>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</si>
  <si>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</si>
  <si>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</si>
  <si>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</si>
  <si>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</si>
  <si>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</si>
  <si>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</si>
  <si>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</si>
  <si>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</si>
  <si>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</si>
  <si>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</si>
  <si>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</si>
  <si>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</si>
  <si>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</si>
  <si>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</si>
  <si>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</si>
  <si>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</si>
  <si>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2026 Quarter 1 Data</t>
  </si>
  <si>
    <t>*Data represents 469 unique detainees. Some detainees have multiple placements within FY26 Q1 (585 total placements).</t>
  </si>
  <si>
    <t>Fiscal Year (FY) 2026 Quarter 2 Data</t>
  </si>
  <si>
    <t>*Data represents 380 unique detainees. Some detainees have multiple placements within FY26 Q2 (467 total placements).</t>
  </si>
  <si>
    <t>Fiscal Year (FY) 2026 Quarter 3 Data</t>
  </si>
  <si>
    <t>*Data represents 386 unique detainees. Some detainees have multiple placements within FY26 Q3 (500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</si>
  <si>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</si>
  <si>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</si>
  <si>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</si>
  <si>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</si>
  <si>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</si>
  <si>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June 2026</t>
  </si>
  <si>
    <t>Facilities</t>
  </si>
  <si>
    <t>Placement Count</t>
  </si>
  <si>
    <t>T. DON HUTTO</t>
  </si>
  <si>
    <t>May 2026</t>
  </si>
  <si>
    <t>April 2026</t>
  </si>
  <si>
    <t>March 2026</t>
  </si>
  <si>
    <t>NORTHWEST ICE PROCESSSING CENTER</t>
  </si>
  <si>
    <t>February 2026</t>
  </si>
  <si>
    <t>January 2026</t>
  </si>
  <si>
    <t>CUMBERLAND COUNTY JAIL</t>
  </si>
  <si>
    <t>December 2025</t>
  </si>
  <si>
    <t>November 2025</t>
  </si>
  <si>
    <t>October 2025</t>
  </si>
  <si>
    <t>U.S. Immigration and Customs Enforcement</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</si>
  <si>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</si>
  <si>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</si>
  <si>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</si>
  <si>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</si>
  <si>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</si>
  <si>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</si>
  <si>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</si>
  <si>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</si>
  <si>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</si>
  <si>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</si>
  <si>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</si>
  <si>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</si>
  <si>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</si>
  <si>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</si>
  <si>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</si>
  <si>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</si>
  <si>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</si>
  <si>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</si>
  <si>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</si>
  <si>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</si>
  <si>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</si>
  <si>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</si>
  <si>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</si>
  <si>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</si>
  <si>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</si>
  <si>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</si>
  <si>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</si>
  <si>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</si>
  <si>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</si>
  <si>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</si>
  <si>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</si>
  <si>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</si>
  <si>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</si>
  <si>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</si>
  <si>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</si>
  <si>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</si>
  <si>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</si>
  <si>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</si>
  <si>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</si>
  <si>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</si>
  <si>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</si>
  <si>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</si>
  <si>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</si>
  <si>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</si>
  <si>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</si>
  <si>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</si>
  <si>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</si>
  <si>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</si>
  <si>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</si>
  <si>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</si>
  <si>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</si>
  <si>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</si>
  <si>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</si>
  <si>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</si>
  <si>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</si>
  <si>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</si>
  <si>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</si>
  <si>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</si>
  <si>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</si>
  <si>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</si>
  <si>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</si>
  <si>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</si>
  <si>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</si>
  <si>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</si>
  <si>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</si>
  <si>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</si>
  <si>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</si>
  <si>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</si>
  <si>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</si>
  <si>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</si>
  <si>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</si>
  <si>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</si>
  <si>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</si>
  <si>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</si>
  <si>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</si>
  <si>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</si>
  <si>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</si>
  <si>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</si>
  <si>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</si>
  <si>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</si>
  <si>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</si>
  <si>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</si>
  <si>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</si>
  <si>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</si>
  <si>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</si>
  <si>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</si>
  <si>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</si>
  <si>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</si>
  <si>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</si>
  <si>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</si>
  <si>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</si>
  <si>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</si>
  <si>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</si>
  <si>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</si>
  <si>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</si>
  <si>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</si>
  <si>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</si>
  <si>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</si>
  <si>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</si>
  <si>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</si>
  <si>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</si>
  <si>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</si>
  <si>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</si>
  <si>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</si>
  <si>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</si>
  <si>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</si>
  <si>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</si>
  <si>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</si>
  <si>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</si>
  <si>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</si>
  <si>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</si>
  <si>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</si>
  <si>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</si>
  <si>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</si>
  <si>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</si>
  <si>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</si>
  <si>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</si>
  <si>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</si>
  <si>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</si>
  <si>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</si>
  <si>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</si>
  <si>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</si>
  <si>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</si>
  <si>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</si>
  <si>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</si>
  <si>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06/04.2026</t>
  </si>
  <si>
    <t>ICE ALTERNATIVES TO DETENTION DATA, FY26</t>
  </si>
  <si>
    <t>ATD Active Population Counts and Daily Cost by Technology</t>
  </si>
  <si>
    <t>FY26 thru June Court Appearance: Total Hearings*</t>
  </si>
  <si>
    <t>Technology</t>
  </si>
  <si>
    <t>Count</t>
  </si>
  <si>
    <t>Daily Tech Cost</t>
  </si>
  <si>
    <t>Metric</t>
  </si>
  <si>
    <t>%</t>
  </si>
  <si>
    <t>SmartLINK</t>
  </si>
  <si>
    <t>Attended</t>
  </si>
  <si>
    <t>Ankle Monitor</t>
  </si>
  <si>
    <t>Failed to Attend</t>
  </si>
  <si>
    <t>Wristworn</t>
  </si>
  <si>
    <t>Total</t>
  </si>
  <si>
    <t>Dual Tech</t>
  </si>
  <si>
    <t xml:space="preserve">Court Data from BI Inc. </t>
  </si>
  <si>
    <t>No Tech</t>
  </si>
  <si>
    <t>Data from BI Inc. Participants Report, 07.11.2026</t>
  </si>
  <si>
    <t>*Only Participants with court tracking assigned</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</si>
  <si>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</si>
  <si>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</si>
  <si>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FAMU Status</t>
  </si>
  <si>
    <t>FAMU</t>
  </si>
  <si>
    <t>Single Adult</t>
  </si>
  <si>
    <t>FY26 thru June Court Appearance: Final Hearings*</t>
  </si>
  <si>
    <t>Data from OBP Report, 07.13.2026</t>
  </si>
  <si>
    <t xml:space="preserve">From '06/29/2026' and '07/12/2026', 9 FAMU individuals were released from ICE custody. </t>
  </si>
  <si>
    <t>Court Data from BI Inc.</t>
  </si>
  <si>
    <t>Active ATD Participants and Average Length in Program, FY26,  as of 07/11/2026, by AOR and Technology</t>
  </si>
  <si>
    <t>AOR/Technology</t>
  </si>
  <si>
    <t>Average Length in Program</t>
  </si>
  <si>
    <t>Atlanta</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</si>
  <si>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</si>
  <si>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</si>
  <si>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</si>
  <si>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</si>
  <si>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</si>
  <si>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</si>
  <si>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</si>
  <si>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</si>
  <si>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</si>
  <si>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</si>
  <si>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</si>
  <si>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</si>
  <si>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</si>
  <si>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</si>
  <si>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</si>
  <si>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</si>
  <si>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</si>
  <si>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</si>
  <si>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</si>
  <si>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</si>
  <si>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</si>
  <si>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</si>
  <si>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</si>
  <si>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</si>
  <si>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</si>
  <si>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</si>
  <si>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</si>
  <si>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</si>
  <si>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</si>
  <si>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</si>
  <si>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</si>
  <si>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</si>
  <si>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</si>
  <si>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</si>
  <si>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</si>
  <si>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</si>
  <si>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</si>
  <si>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</si>
  <si>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</si>
  <si>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</si>
  <si>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</si>
  <si>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</si>
  <si>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</si>
  <si>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</si>
  <si>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</si>
  <si>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</si>
  <si>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</si>
  <si>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</si>
  <si>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</si>
  <si>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</si>
  <si>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</si>
  <si>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</si>
  <si>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</si>
  <si>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</si>
  <si>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</si>
  <si>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</si>
  <si>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</si>
  <si>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</si>
  <si>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</si>
  <si>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</si>
  <si>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</si>
  <si>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</si>
  <si>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</si>
  <si>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</si>
  <si>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</si>
  <si>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</si>
  <si>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</si>
  <si>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</si>
  <si>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</si>
  <si>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</si>
  <si>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</si>
  <si>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Court Ordered</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</si>
  <si>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</si>
  <si>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</si>
  <si>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</si>
  <si>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</si>
  <si>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</si>
  <si>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</si>
  <si>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</si>
  <si>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</si>
  <si>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</si>
  <si>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</si>
  <si>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</si>
  <si>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</si>
  <si>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</si>
  <si>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</si>
  <si>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</si>
  <si>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</si>
  <si>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</si>
  <si>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</si>
  <si>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</si>
  <si>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</si>
  <si>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</si>
  <si>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</si>
  <si>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</si>
  <si>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</si>
  <si>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</si>
  <si>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</si>
  <si>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</si>
  <si>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</si>
  <si>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</si>
  <si>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 C. I.</t>
  </si>
  <si>
    <t>FLBAKCI</t>
  </si>
  <si>
    <t>BAKERFL</t>
  </si>
  <si>
    <t>BLUEBONNET DET FCLTY</t>
  </si>
  <si>
    <t>BLBNATX</t>
  </si>
  <si>
    <t>BUFFALO SPC</t>
  </si>
  <si>
    <t>BTV</t>
  </si>
  <si>
    <t>BUTLEOH</t>
  </si>
  <si>
    <t>CALHOMI CALHOUN CO., BATTLE CR,MI</t>
  </si>
  <si>
    <t>CALHOMI</t>
  </si>
  <si>
    <t>CALIFORNIA CITY CORECTIONS CENTER</t>
  </si>
  <si>
    <t>CACTYCA</t>
  </si>
  <si>
    <t>CAMBRIA COUNTY JAIL, PA</t>
  </si>
  <si>
    <t>CAMBRPA</t>
  </si>
  <si>
    <t>DODGE COUNTY JAIL, JUNEAU</t>
  </si>
  <si>
    <t>DODGEWI</t>
  </si>
  <si>
    <t>ELVDFTX</t>
  </si>
  <si>
    <t>FRMVLVA</t>
  </si>
  <si>
    <t>GEAUGA COUNTY JAIL (GEAUGOH)</t>
  </si>
  <si>
    <t>GEAUGOH</t>
  </si>
  <si>
    <t>HOUSTON CONTRACT DET.FAC.</t>
  </si>
  <si>
    <t>HOUICDF</t>
  </si>
  <si>
    <t>KARNES CO IMMIGRATION PROCESS CTR</t>
  </si>
  <si>
    <t>KRNRCTX</t>
  </si>
  <si>
    <t>LOUISIANA ICE PROCESSING CENTER</t>
  </si>
  <si>
    <t>LICEPLA</t>
  </si>
  <si>
    <t>INMIAMI</t>
  </si>
  <si>
    <t>MSVPCPA</t>
  </si>
  <si>
    <t>NRLKCMI</t>
  </si>
  <si>
    <t>NW ICE PROCESSING CTR</t>
  </si>
  <si>
    <t>CSCNWWA</t>
  </si>
  <si>
    <t>OLDHAM COUNTY JAIL</t>
  </si>
  <si>
    <t>OLDHAKY</t>
  </si>
  <si>
    <t>OZARKMO</t>
  </si>
  <si>
    <t>PRLDCTX</t>
  </si>
  <si>
    <t>RICHWOOD COR CENTER</t>
  </si>
  <si>
    <t>RWCCMLA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</si>
  <si>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</si>
  <si>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</si>
  <si>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</si>
  <si>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</si>
  <si>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</si>
  <si>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</si>
  <si>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</si>
  <si>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</si>
  <si>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</si>
  <si>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</si>
  <si>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</si>
  <si>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</si>
  <si>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</si>
  <si>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</si>
  <si>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</si>
  <si>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</si>
  <si>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</si>
  <si>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</si>
  <si>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</si>
  <si>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</si>
  <si>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</si>
  <si>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</si>
  <si>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</si>
  <si>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</si>
  <si>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</si>
  <si>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</si>
  <si>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September 30, 2026.</t>
  </si>
  <si>
    <t>United States Armed Forces Alien Arrests FY2018 - FY2026 YTD</t>
  </si>
  <si>
    <t>Arrests</t>
  </si>
  <si>
    <t>FY2018</t>
  </si>
  <si>
    <t>FY2019</t>
  </si>
  <si>
    <t>FY2020</t>
  </si>
  <si>
    <t>FY2021</t>
  </si>
  <si>
    <t xml:space="preserve">FY2022 </t>
  </si>
  <si>
    <t>FY2023</t>
  </si>
  <si>
    <t>United States Armed Forces Alien Bookins FY2018 - FY2026 YTD</t>
  </si>
  <si>
    <t>Bookins</t>
  </si>
  <si>
    <t>United States Armed Forces Alien Removals FY2018 - FY2026 YTD</t>
  </si>
  <si>
    <t>United States Citizen Arrests FY2018 - FY2026 YTD</t>
  </si>
  <si>
    <t>FY2022</t>
  </si>
  <si>
    <t>United States Citizens Bookins FY2018 - FY2026 YTD</t>
  </si>
  <si>
    <t>United States Citizens Removals FY2018 - FY2026 YTD</t>
  </si>
  <si>
    <t>Parents of USC Arrests FY2018 - FY2026 YTD</t>
  </si>
  <si>
    <t>Parents of USC Bookins FY2018 - FY2026 YTD</t>
  </si>
  <si>
    <t>Parents of USC Removals FY2018 - FY2026 YTD</t>
  </si>
  <si>
    <t>Temporary Protected Status Countries Arrests FY2018 - FY2026 YTD</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</si>
  <si>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</si>
  <si>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</si>
  <si>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</si>
  <si>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</si>
  <si>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</si>
  <si>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</si>
  <si>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</si>
  <si>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</si>
  <si>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</si>
  <si>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</si>
  <si>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</si>
  <si>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</si>
  <si>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</si>
  <si>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</si>
  <si>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</si>
  <si>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</si>
  <si>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</si>
  <si>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</si>
  <si>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FY2026 YTD</t>
  </si>
  <si>
    <t>Temporary Protected Status Countries Removals FY2018 - FY2026 YTD</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</si>
  <si>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</si>
  <si>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</si>
  <si>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</si>
  <si>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</si>
  <si>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</si>
  <si>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</si>
  <si>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</si>
  <si>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</si>
  <si>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07/11/2026 (IIDS Run Date 07/12/2026; EID as of 07/11/2026).</t>
  </si>
  <si>
    <t>ICE resumed the use of Family Residential Centers on April 7, 2025. Previously ICE discontinued the use of Family Residential Centers on March 31, 2022.</t>
  </si>
  <si>
    <t>FY2026 and FY2025 ICE Final Book Outs</t>
  </si>
  <si>
    <t>FY2026 YTD ICE Final Book Out data are updated through 07/11/2026 (IIDS Run Date 07/12/2026; EID as of 07/11/2026).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</si>
  <si>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</si>
  <si>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</si>
  <si>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</si>
  <si>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</si>
  <si>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</si>
  <si>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07/11/2026 (IIDS Run Date 07/12/2026; EID as of 07/11/2026).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</si>
  <si>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</si>
  <si>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</si>
  <si>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</si>
  <si>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07/11/2026 (IIDS Run Date 07/12/2026; EID as of 07/11/2026).</t>
  </si>
  <si>
    <t>Processing dispositions of Other may include, but are not limited to, Aliens processed under Administrative Removal, Visa Waiver Program Removal, Stowaway or Crewmember.</t>
  </si>
  <si>
    <t>FY2026 ICE Initial Book-Ins</t>
  </si>
  <si>
    <t>FY2026 YTD ICE Book-ins data is updated through 07/11/2026 (IIDS Run Date 07/12/2026; EID as of 07/11/2026).</t>
  </si>
  <si>
    <t>USCIS Average Time from USCIS Fear Decision Service Date to ICE Release (In Days) &amp; Aliens with USCIS-Established Fear Decisions in an ICE Detention Facility</t>
  </si>
  <si>
    <t>Aliens Currently in ICE Detention Facilities data are a snapshot as 07/11/2026 (IIDS Run Date 07/12/2026; EID as of 07/11/2026).</t>
  </si>
  <si>
    <t>USCIS provided data containing APSO (Asylum Pre Screening Officer) cases clocked during FY2024 - FY2026.  Data were received on 07/15/2026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</si>
  <si>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</si>
  <si>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</si>
  <si>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204,667 records in the USCIS provided data, the breakdown of the fear screening determinations is as follows; 78,304 positive fear screening determinations, 85,486 negative fear screening determinations and 40,877 without an identified determination. Of the 78,304 with positive fear screening determinations; 45,273 have Persecution Claim Established and 33,031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</si>
  <si>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</si>
  <si>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204,667 unique fear determinations and 18,517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</si>
  <si>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</si>
  <si>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</si>
  <si>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07/15/2026 (IIDS Run Date 07/16/2026; EID as of 07/15/2026).</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</si>
  <si>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</si>
  <si>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</si>
  <si>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x - x. Data were received on x.</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</si>
  <si>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</si>
  <si>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</si>
  <si>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07/15/2026 (IIDS Run Date 07/16/2026; EID as of 07/15/2026).</t>
  </si>
  <si>
    <t>·       FY2026 YTD ERO Admin Arrests data are updated through 03/31/2026 (IIDS Run Date 04/22/2026; EID as of 04/21/2026).</t>
  </si>
  <si>
    <t>·       FY2026 YTD ICE Detention data are updated through 03/31/2026 (IIDS Run Date 04/22/2026; EID as of 04/21/2026).</t>
  </si>
  <si>
    <t>·       FY2026 YTD ICE Removals data are updated through 03/31/2026 (IIDS Run Date 04/22/2026; EID as of 04/21/2026).</t>
  </si>
  <si>
    <t>·       FY2018-FY2024 data are historical and remain static.</t>
  </si>
  <si>
    <t>U.S. military service is defined as service in the National Guard, Active Duty, and/or Reserve components of the U.S. Army, Air Force, Navy, Marine Corps, Coast Guard, or Space Force. Since 2004, ICE has instructed its officers and agents to inquire about military service when processing Veterans for administrative arrests and removal proceedings. Per ICE policy, protections are in place to ensure that individuals who served in the U.S. Armed Forces is taken into consideration (e.g., immigrations status and criminal history). However, U.S. military service alone does not automatically exempt veterans from the consequences of violating U.S. immigration laws, including arrest, detention, and/or removal.</t>
  </si>
  <si>
    <t xml:space="preserve">ICE does not intentionally or knowingly arrest, book into custody, and/or remove U.S. citizens on administrative charges. While performing their civil immigration enforcement duties, ICE officers, agents, and attorneys may encounter individuals subject to immigration enforcement who are not certain of their citizenship status, who may have derived citizenship, who claim to be U.S. citizens, who may intentionally conceal citizenship to avoid criminal prosecution in the United States, and/or for whom there are indicia warranting further examination to determine if they are U.S. citizens. However, information may come to light after the arrest and subsequent book-in with which ICE discovers the individual is a U.S. citizen.  ERO works with OPLA whether custody should continue pending completion of the investigation of the citizenship claim. U.S. citizens encountered during civil immigration enforcement actions may be captured in our system of records to solely document the status of a denaturalization process and other related criminal prosecution. </t>
  </si>
  <si>
    <t xml:space="preserve">The status of parents of U.S. citizens is determined by relationship flag and citizenship of their child relation. Parents of U.S. citizens are individuals who identified themselves as having U.S. citizen children. This may refer to either one or both parents; however, the totals given do not imply that a U.S. citizen child was booked into custody or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</si>
  <si>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</si>
  <si>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</si>
  <si>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</si>
  <si>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U.S. Citizens: ICE does not intentionally or knowingly arrest, book into custody, detain, and/or remove U.S. citizens on administrative charges. While performing their civil immigration enforcement duties, ICE officers, agents, and attorneys may encounter individuals subject to immigration enforcement who are not certain of their citizenship status, who may have derived citizenship, who claim to be U.S. citizens, who may intentionally conceal Citizenship to avoid criminal prosecution in the United States, and/or for whom there are indicia warranting further examination to determine if they are U.S. citizens. However, information may come to light after the arrest and subsequent book-in with which ICE discovers the individual is a U.S. citizen.  U.S. Citizens encountered during civil immigration enforcement actions may be captured in our system of records to solely document the status of a denaturalization process and other related criminal prosecution. There are instances where ICE conducts in depth criminal investigations of violations of US Criminal Law, which may result in the issuance of a court ordered criminal arrest warrant and the subsequent criminal arrest of any person in the U.S., to include U.S. Citizens (e.g., 18 USC 111, 18 USC 1001, 8 USC 1324, 18 USC 1546, etc.). Further explanation of this should be dictated by ICE policy. </t>
  </si>
  <si>
    <t>Veteran Members of the U.S. Armed Forces: United States military service is defined as service in the National Guard, Active Duty, and/or Reserve components of the U.S. Army, Air Force, Navy, Marine Corps, Coast Guard, or Space Force. Since 2004, ICE has instructed its officers and agents to inquire about military service when processing Veterans for administrative arrests and removal proceedings. Per ICE policy, protections are in place to ensure that individuals who served in the U.S. Armed Forces is taken into consideration, i.e immigrations status and criminal history. However, U.S. military service alone does not automatically exempt Veterans from the consequences of violating U.S. immigration laws, including arrest, detention, and/or removal.</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</si>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</sst>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_(* #,##0_);_(* \(#,##0\);_(* &quot;-&quot;??_);_(@_)"/>
    <numFmt numFmtId="166" formatCode="0.0%"/>
    <numFmt numFmtId="167" formatCode="&quot;$&quot;#,##0.00"/>
    <numFmt numFmtId="168" formatCode="#,##0.0"/>
    <numFmt numFmtId="169" formatCode="_(* #,##0.0_);_(* \(#,##0.0\);_(* &quot;-&quot;_);_(@_)"/>
    <numFmt numFmtId="170" formatCode="0.0"/>
    <numFmt numFmtId="171" formatCode="_(* #,##0.0_);_(* \(#,##0.0\);_(* &quot;-&quot;?_);_(@_)"/>
    <numFmt numFmtId="172" formatCode="mmm\-yyyy"/>
    <numFmt numFmtId="173" formatCode="_(* #,##0_);_(* \(#,##0\);_(* &quot;-&quot;?_);_(@_)"/>
  </numFmts>
  <fonts count="49"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1"/>
      <name val="Times New Roman"/>
      <family val="2"/>
    </font>
    <font>
      <b/>
      <sz val="12"/>
      <color rgb="FFFFFFFF"/>
      <name val="Times New Roman"/>
      <family val="2"/>
    </font>
    <font>
      <b/>
      <sz val="12"/>
      <name val="Calibri"/>
      <family val="2"/>
      <scheme val="minor"/>
    </font>
    <font>
      <b/>
      <sz val="12"/>
      <color indexed="18"/>
      <name val="Calibri"/>
      <family val="2"/>
      <scheme val="minor"/>
    </font>
    <font>
      <b/>
      <sz val="12"/>
      <color rgb="FFFF0000"/>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
      <sz val="8"/>
      <color theme="1"/>
      <name val="Calibri"/>
      <family val="2"/>
      <scheme val="minor"/>
    </font>
    <font>
      <sz val="8"/>
      <name val="Calibri"/>
      <family val="2"/>
      <scheme val="minor"/>
    </font>
    <font>
      <b/>
      <sz val="12"/>
      <color indexed="8"/>
      <name val="Calibri"/>
      <family val="2"/>
      <scheme val="minor"/>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s>
  <fills count="2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4"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style="medium">
        <color indexed="64"/>
      </top>
      <bottom style="thin">
        <color indexed="64"/>
      </bottom>
      <diagonal/>
    </border>
    <border>
      <left/>
      <right style="medium">
        <color rgb="FF000000"/>
      </right>
      <top style="medium">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s>
  <cellStyleXfs count="11">
    <xf numFmtId="0" fontId="0" fillId="0" borderId="0"/>
    <xf numFmtId="0" fontId="1" fillId="0" borderId="0"/>
    <xf numFmtId="0" fontId="2" fillId="0" borderId="0"/>
    <xf numFmtId="0" fontId="6" fillId="0" borderId="0"/>
    <xf numFmtId="0" fontId="11"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43" fontId="21" fillId="0" borderId="0"/>
    <xf numFmtId="9" fontId="21" fillId="0" borderId="0"/>
  </cellStyleXfs>
  <cellXfs count="440">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0" fillId="4" borderId="1" xfId="0" applyFill="1" applyBorder="1" applyAlignment="1">
      <alignment horizontal="left"/>
    </xf>
    <xf numFmtId="0" fontId="0" fillId="4" borderId="1" xfId="0" applyFill="1" applyBorder="1"/>
    <xf numFmtId="0" fontId="0" fillId="0" borderId="0" xfId="0" applyAlignment="1">
      <alignment horizontal="left"/>
    </xf>
    <xf numFmtId="0" fontId="14" fillId="8" borderId="12" xfId="5" applyFont="1" applyFill="1" applyBorder="1" applyAlignment="1">
      <alignment vertical="center"/>
    </xf>
    <xf numFmtId="0" fontId="14" fillId="8" borderId="17" xfId="5" applyFont="1" applyFill="1" applyBorder="1" applyAlignment="1">
      <alignment vertical="center" wrapText="1"/>
    </xf>
    <xf numFmtId="0" fontId="15" fillId="0" borderId="16" xfId="5" applyFont="1" applyBorder="1" applyAlignment="1">
      <alignment vertical="center"/>
    </xf>
    <xf numFmtId="0" fontId="15" fillId="0" borderId="15" xfId="5" applyFont="1" applyBorder="1" applyAlignment="1">
      <alignment horizontal="right" vertical="center"/>
    </xf>
    <xf numFmtId="2" fontId="15" fillId="0" borderId="15" xfId="5" applyNumberFormat="1" applyFont="1" applyBorder="1" applyAlignment="1">
      <alignment horizontal="right" vertical="center"/>
    </xf>
    <xf numFmtId="0" fontId="15" fillId="0" borderId="16" xfId="5" applyFont="1" applyBorder="1" applyAlignment="1">
      <alignment vertical="center" wrapText="1"/>
    </xf>
    <xf numFmtId="0" fontId="14" fillId="8" borderId="16" xfId="5" applyFont="1" applyFill="1" applyBorder="1" applyAlignment="1">
      <alignment vertical="center"/>
    </xf>
    <xf numFmtId="0" fontId="14" fillId="8" borderId="15" xfId="5" applyFont="1" applyFill="1" applyBorder="1" applyAlignment="1">
      <alignment horizontal="right" vertical="center"/>
    </xf>
    <xf numFmtId="2" fontId="14" fillId="8" borderId="15" xfId="5" applyNumberFormat="1" applyFont="1" applyFill="1" applyBorder="1" applyAlignment="1">
      <alignment horizontal="right" vertical="center"/>
    </xf>
    <xf numFmtId="0" fontId="13" fillId="0" borderId="0" xfId="5" applyFont="1"/>
    <xf numFmtId="0" fontId="21" fillId="0" borderId="0" xfId="5"/>
    <xf numFmtId="49" fontId="18" fillId="7" borderId="20" xfId="0" applyNumberFormat="1" applyFont="1" applyFill="1" applyBorder="1" applyAlignment="1">
      <alignment vertical="top" wrapText="1"/>
    </xf>
    <xf numFmtId="49" fontId="18" fillId="7" borderId="21" xfId="0" applyNumberFormat="1" applyFont="1" applyFill="1" applyBorder="1" applyAlignment="1">
      <alignment vertical="top" wrapText="1"/>
    </xf>
    <xf numFmtId="0" fontId="0" fillId="0" borderId="0" xfId="5" applyFont="1"/>
    <xf numFmtId="0" fontId="22" fillId="0" borderId="0" xfId="0" applyFont="1"/>
    <xf numFmtId="0" fontId="23" fillId="3" borderId="0" xfId="0" applyFont="1" applyFill="1" applyAlignment="1">
      <alignment horizontal="center" vertical="center" wrapText="1"/>
    </xf>
    <xf numFmtId="0" fontId="13" fillId="0" borderId="0" xfId="0" applyFont="1" applyAlignment="1">
      <alignment horizontal="left" vertical="center"/>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0" fillId="0" borderId="0" xfId="0" applyAlignment="1">
      <alignment horizontal="right"/>
    </xf>
    <xf numFmtId="0" fontId="3" fillId="2" borderId="0" xfId="2" applyFont="1" applyFill="1" applyAlignment="1">
      <alignment vertical="center" wrapText="1"/>
    </xf>
    <xf numFmtId="0" fontId="8" fillId="4" borderId="0" xfId="1" applyFont="1" applyFill="1" applyAlignment="1">
      <alignment horizontal="left" vertical="top"/>
    </xf>
    <xf numFmtId="0" fontId="24" fillId="2" borderId="0" xfId="0" applyFont="1" applyFill="1" applyAlignment="1">
      <alignment horizontal="left" vertical="center" wrapText="1"/>
    </xf>
    <xf numFmtId="0" fontId="25" fillId="5" borderId="0" xfId="2" applyFont="1" applyFill="1" applyAlignment="1">
      <alignment vertical="center" wrapText="1"/>
    </xf>
    <xf numFmtId="165" fontId="25" fillId="5" borderId="0" xfId="6" applyNumberFormat="1" applyFont="1" applyFill="1" applyBorder="1" applyAlignment="1">
      <alignment vertical="center" wrapText="1"/>
    </xf>
    <xf numFmtId="166" fontId="25" fillId="5" borderId="0" xfId="8" applyNumberFormat="1" applyFont="1" applyFill="1" applyBorder="1" applyAlignment="1">
      <alignment vertical="center" wrapText="1"/>
    </xf>
    <xf numFmtId="0" fontId="26" fillId="5" borderId="0" xfId="2" applyFont="1" applyFill="1" applyAlignment="1">
      <alignment vertical="center" wrapText="1"/>
    </xf>
    <xf numFmtId="0" fontId="28" fillId="10" borderId="1" xfId="0" applyFont="1" applyFill="1" applyBorder="1" applyAlignment="1">
      <alignment horizontal="left" vertical="top"/>
    </xf>
    <xf numFmtId="0" fontId="28" fillId="10" borderId="1" xfId="0" applyFont="1" applyFill="1" applyBorder="1" applyAlignment="1">
      <alignment horizontal="left"/>
    </xf>
    <xf numFmtId="165" fontId="28" fillId="10" borderId="1" xfId="6" applyNumberFormat="1" applyFont="1" applyFill="1" applyBorder="1" applyAlignment="1">
      <alignment horizontal="left"/>
    </xf>
    <xf numFmtId="166" fontId="28" fillId="10" borderId="1" xfId="8" applyNumberFormat="1" applyFont="1" applyFill="1" applyBorder="1" applyAlignment="1">
      <alignment horizontal="left"/>
    </xf>
    <xf numFmtId="0" fontId="29" fillId="0" borderId="1" xfId="0" applyFont="1" applyBorder="1" applyAlignment="1">
      <alignment vertical="center"/>
    </xf>
    <xf numFmtId="3" fontId="30" fillId="0" borderId="1" xfId="0" applyNumberFormat="1" applyFont="1" applyBorder="1"/>
    <xf numFmtId="167" fontId="30" fillId="0" borderId="1" xfId="0" applyNumberFormat="1" applyFont="1" applyBorder="1"/>
    <xf numFmtId="0" fontId="30" fillId="0" borderId="1" xfId="0" applyFont="1" applyBorder="1" applyAlignment="1">
      <alignment horizontal="left"/>
    </xf>
    <xf numFmtId="165" fontId="30" fillId="0" borderId="1" xfId="6" applyNumberFormat="1" applyFont="1" applyBorder="1" applyAlignment="1">
      <alignment horizontal="right"/>
    </xf>
    <xf numFmtId="166" fontId="30" fillId="0" borderId="1" xfId="8" applyNumberFormat="1" applyFont="1" applyBorder="1" applyAlignment="1">
      <alignment horizontal="right"/>
    </xf>
    <xf numFmtId="3" fontId="29" fillId="0" borderId="1" xfId="0" applyNumberFormat="1" applyFont="1" applyBorder="1" applyAlignment="1">
      <alignment vertical="center"/>
    </xf>
    <xf numFmtId="167" fontId="29" fillId="0" borderId="1" xfId="7" applyNumberFormat="1" applyFont="1" applyBorder="1" applyAlignment="1">
      <alignment vertical="center"/>
    </xf>
    <xf numFmtId="165" fontId="30" fillId="0" borderId="1" xfId="6" applyNumberFormat="1" applyFont="1" applyFill="1" applyBorder="1" applyAlignment="1">
      <alignment horizontal="right"/>
    </xf>
    <xf numFmtId="166" fontId="30" fillId="0" borderId="1" xfId="8" applyNumberFormat="1" applyFont="1" applyFill="1" applyBorder="1" applyAlignment="1">
      <alignment horizontal="right"/>
    </xf>
    <xf numFmtId="0" fontId="31" fillId="9" borderId="1" xfId="0" applyFont="1" applyFill="1" applyBorder="1" applyAlignment="1">
      <alignment vertical="center"/>
    </xf>
    <xf numFmtId="165" fontId="31" fillId="9" borderId="1" xfId="6" applyNumberFormat="1" applyFont="1" applyFill="1" applyBorder="1" applyAlignment="1">
      <alignment vertical="center"/>
    </xf>
    <xf numFmtId="166" fontId="31" fillId="9" borderId="1" xfId="8" applyNumberFormat="1" applyFont="1" applyFill="1" applyBorder="1" applyAlignment="1">
      <alignment vertical="center"/>
    </xf>
    <xf numFmtId="0" fontId="32" fillId="0" borderId="0" xfId="0" applyFont="1" applyAlignment="1">
      <alignment horizontal="left"/>
    </xf>
    <xf numFmtId="3" fontId="31" fillId="9" borderId="1" xfId="0" applyNumberFormat="1" applyFont="1" applyFill="1" applyBorder="1" applyAlignment="1">
      <alignment vertical="center"/>
    </xf>
    <xf numFmtId="167" fontId="31" fillId="9" borderId="1" xfId="7" applyNumberFormat="1" applyFont="1" applyFill="1" applyBorder="1" applyAlignment="1">
      <alignment vertical="center"/>
    </xf>
    <xf numFmtId="0" fontId="33" fillId="2" borderId="0" xfId="0" applyFont="1" applyFill="1" applyAlignment="1">
      <alignment horizontal="left" vertical="center" wrapText="1"/>
    </xf>
    <xf numFmtId="0" fontId="30" fillId="0" borderId="0" xfId="0" applyFont="1"/>
    <xf numFmtId="168" fontId="29" fillId="0" borderId="1" xfId="0" applyNumberFormat="1" applyFont="1" applyBorder="1" applyAlignment="1">
      <alignment vertical="center"/>
    </xf>
    <xf numFmtId="168" fontId="30" fillId="0" borderId="1" xfId="0" applyNumberFormat="1" applyFont="1" applyBorder="1"/>
    <xf numFmtId="168" fontId="31" fillId="9" borderId="1" xfId="0" applyNumberFormat="1" applyFont="1" applyFill="1" applyBorder="1" applyAlignment="1">
      <alignment vertical="center"/>
    </xf>
    <xf numFmtId="165" fontId="28" fillId="10" borderId="1" xfId="6" applyNumberFormat="1" applyFont="1" applyFill="1" applyBorder="1" applyAlignment="1">
      <alignment horizontal="right"/>
    </xf>
    <xf numFmtId="166" fontId="28" fillId="10" borderId="1" xfId="8" applyNumberFormat="1" applyFont="1" applyFill="1" applyBorder="1" applyAlignment="1">
      <alignment horizontal="right"/>
    </xf>
    <xf numFmtId="3" fontId="25" fillId="5" borderId="0" xfId="2" applyNumberFormat="1" applyFont="1" applyFill="1" applyAlignment="1">
      <alignment vertical="center" wrapText="1"/>
    </xf>
    <xf numFmtId="0" fontId="24" fillId="2" borderId="0" xfId="0" applyFont="1" applyFill="1" applyAlignment="1">
      <alignment horizontal="left" vertical="top" wrapText="1"/>
    </xf>
    <xf numFmtId="165" fontId="24" fillId="2" borderId="0" xfId="6" applyNumberFormat="1" applyFont="1" applyFill="1" applyBorder="1" applyAlignment="1">
      <alignment horizontal="left" vertical="center" wrapText="1"/>
    </xf>
    <xf numFmtId="0" fontId="28" fillId="3" borderId="12" xfId="0" applyFont="1" applyFill="1" applyBorder="1" applyAlignment="1">
      <alignment horizontal="center" vertical="center" wrapText="1"/>
    </xf>
    <xf numFmtId="0" fontId="27" fillId="11" borderId="12" xfId="0" applyFont="1" applyFill="1" applyBorder="1"/>
    <xf numFmtId="41" fontId="34" fillId="11" borderId="12" xfId="0" applyNumberFormat="1" applyFont="1" applyFill="1" applyBorder="1" applyAlignment="1">
      <alignment horizontal="center"/>
    </xf>
    <xf numFmtId="169" fontId="34" fillId="11" borderId="12" xfId="0" applyNumberFormat="1" applyFont="1" applyFill="1" applyBorder="1" applyAlignment="1">
      <alignment horizontal="center"/>
    </xf>
    <xf numFmtId="165" fontId="0" fillId="0" borderId="0" xfId="6" applyNumberFormat="1" applyFont="1" applyBorder="1"/>
    <xf numFmtId="166" fontId="0" fillId="0" borderId="0" xfId="8" applyNumberFormat="1" applyFont="1" applyBorder="1"/>
    <xf numFmtId="0" fontId="27" fillId="12" borderId="12" xfId="0" applyFont="1" applyFill="1" applyBorder="1" applyAlignment="1">
      <alignment vertical="center"/>
    </xf>
    <xf numFmtId="3" fontId="27" fillId="12" borderId="12" xfId="0" applyNumberFormat="1" applyFont="1" applyFill="1" applyBorder="1" applyAlignment="1">
      <alignment vertical="center"/>
    </xf>
    <xf numFmtId="168" fontId="27" fillId="12" borderId="12" xfId="0" applyNumberFormat="1" applyFont="1" applyFill="1" applyBorder="1" applyAlignment="1">
      <alignment vertical="center"/>
    </xf>
    <xf numFmtId="0" fontId="30" fillId="0" borderId="12" xfId="0" applyFont="1" applyBorder="1" applyAlignment="1">
      <alignment horizontal="left" indent="1"/>
    </xf>
    <xf numFmtId="3" fontId="30" fillId="0" borderId="12" xfId="0" applyNumberFormat="1" applyFont="1" applyBorder="1"/>
    <xf numFmtId="168" fontId="30" fillId="0" borderId="12" xfId="0" applyNumberFormat="1" applyFont="1" applyBorder="1"/>
    <xf numFmtId="3" fontId="27" fillId="12" borderId="12" xfId="0" applyNumberFormat="1" applyFont="1" applyFill="1" applyBorder="1"/>
    <xf numFmtId="168" fontId="27" fillId="12" borderId="12" xfId="0" applyNumberFormat="1" applyFont="1" applyFill="1" applyBorder="1"/>
    <xf numFmtId="3" fontId="30" fillId="0" borderId="0" xfId="0" applyNumberFormat="1" applyFont="1"/>
    <xf numFmtId="0" fontId="30" fillId="0" borderId="12" xfId="0" applyFont="1" applyBorder="1" applyAlignment="1">
      <alignment horizontal="left" vertical="center" indent="1"/>
    </xf>
    <xf numFmtId="3" fontId="30" fillId="0" borderId="12" xfId="0" applyNumberFormat="1" applyFont="1" applyBorder="1" applyAlignment="1">
      <alignment vertical="center"/>
    </xf>
    <xf numFmtId="168" fontId="30" fillId="0" borderId="12" xfId="0" applyNumberFormat="1" applyFont="1" applyBorder="1" applyAlignment="1">
      <alignment vertical="center"/>
    </xf>
    <xf numFmtId="0" fontId="27" fillId="12" borderId="12" xfId="0" applyFont="1" applyFill="1" applyBorder="1"/>
    <xf numFmtId="0" fontId="27" fillId="12" borderId="12" xfId="0" applyFont="1" applyFill="1" applyBorder="1" applyAlignment="1">
      <alignment horizontal="left"/>
    </xf>
    <xf numFmtId="0" fontId="30" fillId="0" borderId="12" xfId="0" applyFont="1" applyBorder="1"/>
    <xf numFmtId="2" fontId="30" fillId="0" borderId="12" xfId="0" applyNumberFormat="1" applyFont="1" applyBorder="1"/>
    <xf numFmtId="165" fontId="30" fillId="0" borderId="0" xfId="6" applyNumberFormat="1" applyFont="1" applyBorder="1"/>
    <xf numFmtId="0" fontId="22" fillId="9" borderId="1" xfId="0" applyFont="1" applyFill="1" applyBorder="1" applyAlignment="1">
      <alignment horizontal="center" vertical="center"/>
    </xf>
    <xf numFmtId="0" fontId="22" fillId="9" borderId="1" xfId="0" applyFont="1" applyFill="1" applyBorder="1" applyAlignment="1">
      <alignment horizontal="right" vertical="center"/>
    </xf>
    <xf numFmtId="0" fontId="4" fillId="0" borderId="1" xfId="0" applyFont="1" applyBorder="1" applyAlignment="1">
      <alignment horizontal="left" vertical="center"/>
    </xf>
    <xf numFmtId="3" fontId="4" fillId="0" borderId="1" xfId="0" applyNumberFormat="1" applyFont="1" applyBorder="1"/>
    <xf numFmtId="164" fontId="4" fillId="0" borderId="1" xfId="0" applyNumberFormat="1" applyFont="1" applyBorder="1" applyAlignment="1">
      <alignment horizontal="right"/>
    </xf>
    <xf numFmtId="0" fontId="4" fillId="0" borderId="1" xfId="0" applyFont="1" applyBorder="1" applyAlignment="1">
      <alignment horizontal="right" vertical="center"/>
    </xf>
    <xf numFmtId="14" fontId="4" fillId="0" borderId="1" xfId="0" applyNumberFormat="1" applyFont="1" applyBorder="1" applyAlignment="1">
      <alignment horizontal="right" vertical="center"/>
    </xf>
    <xf numFmtId="0" fontId="14" fillId="0" borderId="0" xfId="0" applyFont="1" applyAlignment="1">
      <alignment vertical="center" wrapText="1"/>
    </xf>
    <xf numFmtId="0" fontId="8" fillId="4" borderId="0" xfId="1" applyFont="1" applyFill="1" applyAlignment="1">
      <alignment horizontal="center" vertical="top"/>
    </xf>
    <xf numFmtId="0" fontId="33" fillId="2" borderId="25" xfId="0" applyFont="1" applyFill="1" applyBorder="1" applyAlignment="1">
      <alignment horizontal="left" vertical="center" wrapText="1"/>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4" fillId="2" borderId="24" xfId="0" applyFont="1" applyFill="1" applyBorder="1" applyAlignment="1">
      <alignment horizontal="left" wrapText="1"/>
    </xf>
    <xf numFmtId="0" fontId="27" fillId="0" borderId="0" xfId="0" applyFont="1" applyAlignment="1">
      <alignment horizontal="center"/>
    </xf>
    <xf numFmtId="0" fontId="32" fillId="0" borderId="0" xfId="0" applyFont="1" applyAlignment="1">
      <alignment horizontal="left"/>
    </xf>
    <xf numFmtId="0" fontId="33" fillId="2" borderId="0" xfId="0" applyFont="1" applyFill="1" applyAlignment="1">
      <alignment horizontal="left" vertical="center" wrapText="1"/>
    </xf>
    <xf numFmtId="0" fontId="27" fillId="0" borderId="0" xfId="0" applyFont="1" applyAlignment="1">
      <alignment horizontal="left" wrapText="1"/>
    </xf>
    <xf numFmtId="0" fontId="27" fillId="0" borderId="0" xfId="0" applyFont="1" applyAlignment="1">
      <alignment horizontal="left"/>
    </xf>
    <xf numFmtId="0" fontId="24" fillId="2" borderId="0" xfId="0" applyFont="1" applyFill="1" applyAlignment="1">
      <alignment horizontal="left" vertical="top" wrapText="1"/>
    </xf>
    <xf numFmtId="0" fontId="24" fillId="2" borderId="13" xfId="0" applyFont="1" applyFill="1" applyBorder="1" applyAlignment="1">
      <alignment vertical="center" wrapText="1"/>
    </xf>
    <xf numFmtId="0" fontId="23" fillId="3" borderId="0" xfId="0" applyFont="1" applyFill="1" applyAlignment="1">
      <alignment horizontal="center" vertical="center"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49" fontId="18" fillId="7" borderId="22" xfId="0" applyNumberFormat="1" applyFont="1" applyFill="1" applyBorder="1" applyAlignment="1">
      <alignment horizontal="left" vertical="top" wrapText="1"/>
    </xf>
    <xf numFmtId="49" fontId="18" fillId="7" borderId="23" xfId="0" applyNumberFormat="1" applyFont="1" applyFill="1" applyBorder="1" applyAlignment="1">
      <alignment horizontal="left" vertical="top" wrapText="1"/>
    </xf>
    <xf numFmtId="0" fontId="12" fillId="0" borderId="26" xfId="0" applyFont="1" applyBorder="1" applyAlignment="1">
      <alignment horizontal="left" vertical="top" wrapText="1"/>
    </xf>
    <xf numFmtId="0" fontId="12" fillId="0" borderId="13" xfId="0" applyFont="1" applyBorder="1" applyAlignment="1">
      <alignment horizontal="left" vertical="top" wrapText="1"/>
    </xf>
    <xf numFmtId="0" fontId="12" fillId="0" borderId="15" xfId="0" applyFont="1" applyBorder="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0" fillId="0" borderId="26"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left" vertical="top" wrapText="1"/>
    </xf>
    <xf numFmtId="0" fontId="14" fillId="8" borderId="14" xfId="5" applyFont="1" applyFill="1" applyBorder="1" applyAlignment="1">
      <alignment horizontal="center" vertical="center"/>
    </xf>
    <xf numFmtId="0" fontId="14" fillId="8" borderId="18" xfId="5" applyFont="1" applyFill="1" applyBorder="1" applyAlignment="1">
      <alignment horizontal="center" vertical="center"/>
    </xf>
    <xf numFmtId="0" fontId="14" fillId="8" borderId="17" xfId="5"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4" fillId="2" borderId="3" xfId="0" applyFont="1" applyFill="1" applyBorder="1" applyAlignment="1">
      <alignment horizontal="center" vertical="top" wrapText="1"/>
    </xf>
    <xf numFmtId="0" fontId="8" fillId="0" borderId="0" xfId="1" applyFont="1" applyAlignment="1">
      <alignment horizontal="left" vertical="top"/>
    </xf>
    <xf numFmtId="0" fontId="36" fillId="2" borderId="0" xfId="0" applyFont="1" applyFill="1"/>
    <xf numFmtId="0" fontId="36" fillId="2" borderId="0" xfId="0" applyFont="1" applyFill="1"/>
    <xf numFmtId="0" fontId="7" fillId="5" borderId="0" xfId="2" applyFont="1" applyFill="1" applyAlignment="1">
      <alignment horizontal="left" vertical="center" wrapText="1"/>
    </xf>
    <xf numFmtId="0" fontId="36" fillId="0" borderId="0" xfId="0" applyFont="1"/>
    <xf numFmtId="0" fontId="7" fillId="5" borderId="0" xfId="2" applyFont="1" applyFill="1" applyAlignment="1">
      <alignment vertical="center" wrapText="1"/>
    </xf>
    <xf numFmtId="0" fontId="36" fillId="0" borderId="0" xfId="0" applyFont="1"/>
    <xf numFmtId="0" fontId="8" fillId="4" borderId="0" xfId="1" applyFont="1" applyFill="1" applyAlignment="1">
      <alignment horizontal="left" vertical="top"/>
    </xf>
    <xf numFmtId="0" fontId="0" fillId="0" borderId="0" xfId="0"/>
    <xf numFmtId="0" fontId="3" fillId="4" borderId="0" xfId="2" applyFont="1" applyFill="1" applyAlignment="1">
      <alignment vertical="center" wrapText="1"/>
    </xf>
    <xf numFmtId="0" fontId="37" fillId="2" borderId="0" xfId="0" applyFont="1" applyFill="1" applyAlignment="1">
      <alignment horizontal="left" vertical="center"/>
    </xf>
    <xf numFmtId="0" fontId="38" fillId="2" borderId="0" xfId="0" applyFont="1" applyFill="1"/>
    <xf numFmtId="0" fontId="39" fillId="2" borderId="0" xfId="0" applyFont="1" applyFill="1" applyAlignment="1">
      <alignment horizontal="center"/>
    </xf>
    <xf numFmtId="0" fontId="39" fillId="0" borderId="0" xfId="0" applyFont="1" applyAlignment="1">
      <alignment horizontal="center"/>
    </xf>
    <xf numFmtId="0" fontId="39" fillId="11" borderId="8" xfId="0" applyFont="1" applyFill="1" applyBorder="1" applyAlignment="1">
      <alignment horizontal="center" vertical="center"/>
    </xf>
    <xf numFmtId="0" fontId="0" fillId="0" borderId="27" xfId="0" applyBorder="1"/>
    <xf numFmtId="0" fontId="0" fillId="0" borderId="28" xfId="0" applyBorder="1"/>
    <xf numFmtId="0" fontId="40" fillId="2" borderId="5" xfId="0" applyFont="1" applyFill="1" applyBorder="1" applyAlignment="1">
      <alignment horizontal="center" vertical="center"/>
    </xf>
    <xf numFmtId="0" fontId="40" fillId="2" borderId="0" xfId="0" applyFont="1" applyFill="1" applyAlignment="1">
      <alignment horizontal="center" vertical="center"/>
    </xf>
    <xf numFmtId="0" fontId="40" fillId="2" borderId="0" xfId="0" applyFont="1" applyFill="1" applyAlignment="1">
      <alignment horizontal="center" vertical="center" wrapText="1"/>
    </xf>
    <xf numFmtId="0" fontId="40" fillId="2" borderId="19" xfId="0" applyFont="1" applyFill="1" applyBorder="1" applyAlignment="1">
      <alignment horizontal="center" vertical="center"/>
    </xf>
    <xf numFmtId="0" fontId="40" fillId="2" borderId="0" xfId="0" applyFont="1" applyFill="1" applyAlignment="1">
      <alignment horizontal="center"/>
    </xf>
    <xf numFmtId="0" fontId="40" fillId="0" borderId="5" xfId="0" applyFont="1" applyBorder="1" applyAlignment="1">
      <alignment horizontal="left" vertical="center" wrapText="1"/>
    </xf>
    <xf numFmtId="0" fontId="36" fillId="2" borderId="0" xfId="0" applyFont="1" applyFill="1" applyAlignment="1">
      <alignment horizontal="left"/>
    </xf>
    <xf numFmtId="0" fontId="40" fillId="2" borderId="0" xfId="0" applyFont="1" applyFill="1" applyAlignment="1">
      <alignment horizontal="left" vertical="center" wrapText="1"/>
    </xf>
    <xf numFmtId="0" fontId="40" fillId="0" borderId="0" xfId="0" applyFont="1" applyAlignment="1">
      <alignment horizontal="left" vertical="center" wrapText="1"/>
    </xf>
    <xf numFmtId="0" fontId="40" fillId="0" borderId="0" xfId="0" applyFont="1" applyAlignment="1">
      <alignment horizontal="left" vertical="center" wrapText="1"/>
    </xf>
    <xf numFmtId="0" fontId="36" fillId="2" borderId="0" xfId="0" applyFont="1" applyFill="1" applyAlignment="1">
      <alignment horizontal="left"/>
    </xf>
    <xf numFmtId="0" fontId="40" fillId="2" borderId="0" xfId="0" applyFont="1" applyFill="1" applyAlignment="1">
      <alignment horizontal="left" vertical="center"/>
    </xf>
    <xf numFmtId="0" fontId="40" fillId="2" borderId="19" xfId="0" applyFont="1" applyFill="1" applyBorder="1" applyAlignment="1">
      <alignment horizontal="left" vertical="center"/>
    </xf>
    <xf numFmtId="0" fontId="40" fillId="2" borderId="0" xfId="0" applyFont="1" applyFill="1" applyAlignment="1">
      <alignment horizontal="left"/>
    </xf>
    <xf numFmtId="3" fontId="36" fillId="2" borderId="0" xfId="0" applyNumberFormat="1" applyFont="1" applyFill="1" applyAlignment="1">
      <alignment horizontal="left"/>
    </xf>
    <xf numFmtId="0" fontId="41" fillId="3" borderId="6"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0" fillId="0" borderId="29" xfId="0" applyBorder="1"/>
    <xf numFmtId="170" fontId="41" fillId="3" borderId="1" xfId="0" applyNumberFormat="1" applyFont="1" applyFill="1" applyBorder="1" applyAlignment="1">
      <alignment horizontal="center" vertical="center" wrapText="1"/>
    </xf>
    <xf numFmtId="170" fontId="41" fillId="0" borderId="0" xfId="0" applyNumberFormat="1" applyFont="1" applyAlignment="1">
      <alignment horizontal="center" vertical="center" wrapText="1"/>
    </xf>
    <xf numFmtId="0" fontId="41" fillId="3" borderId="1" xfId="0" applyFont="1" applyFill="1" applyBorder="1" applyAlignment="1">
      <alignment vertical="center" wrapText="1"/>
    </xf>
    <xf numFmtId="3" fontId="36" fillId="2" borderId="0" xfId="0" applyNumberFormat="1" applyFont="1" applyFill="1"/>
    <xf numFmtId="0" fontId="36" fillId="4" borderId="30" xfId="0" applyFont="1" applyFill="1" applyBorder="1"/>
    <xf numFmtId="165" fontId="36" fillId="4" borderId="31" xfId="9" applyNumberFormat="1" applyFont="1" applyFill="1" applyBorder="1"/>
    <xf numFmtId="0" fontId="36" fillId="2" borderId="1" xfId="0" applyFont="1" applyFill="1" applyBorder="1"/>
    <xf numFmtId="171" fontId="36" fillId="0" borderId="1" xfId="9" applyNumberFormat="1" applyFont="1" applyBorder="1"/>
    <xf numFmtId="170" fontId="36" fillId="0" borderId="0" xfId="9" applyNumberFormat="1" applyFont="1"/>
    <xf numFmtId="0" fontId="36" fillId="4" borderId="31" xfId="0" applyFont="1" applyFill="1" applyBorder="1" applyAlignment="1">
      <alignment horizontal="left"/>
    </xf>
    <xf numFmtId="0" fontId="0" fillId="0" borderId="32" xfId="0" applyBorder="1"/>
    <xf numFmtId="41" fontId="36" fillId="4" borderId="32" xfId="0" applyNumberFormat="1" applyFont="1" applyFill="1" applyBorder="1"/>
    <xf numFmtId="3" fontId="40" fillId="2" borderId="0" xfId="0" applyNumberFormat="1" applyFont="1" applyFill="1" applyAlignment="1">
      <alignment horizontal="center"/>
    </xf>
    <xf numFmtId="165" fontId="36" fillId="2" borderId="2" xfId="9" applyNumberFormat="1" applyFont="1" applyFill="1" applyBorder="1" applyAlignment="1">
      <alignment horizontal="left"/>
    </xf>
    <xf numFmtId="41" fontId="36" fillId="0" borderId="1" xfId="9" applyNumberFormat="1" applyFont="1" applyBorder="1" applyAlignment="1">
      <alignment horizontal="right"/>
    </xf>
    <xf numFmtId="41" fontId="36" fillId="2" borderId="1" xfId="9" applyNumberFormat="1" applyFont="1" applyFill="1" applyBorder="1" applyAlignment="1">
      <alignment horizontal="right"/>
    </xf>
    <xf numFmtId="170" fontId="36" fillId="2" borderId="0" xfId="9" applyNumberFormat="1" applyFont="1" applyFill="1"/>
    <xf numFmtId="165" fontId="36" fillId="2" borderId="33" xfId="9" applyNumberFormat="1" applyFont="1" applyFill="1" applyBorder="1" applyAlignment="1">
      <alignment horizontal="left"/>
    </xf>
    <xf numFmtId="0" fontId="0" fillId="0" borderId="34" xfId="0" applyBorder="1"/>
    <xf numFmtId="165" fontId="36" fillId="0" borderId="35" xfId="9" applyNumberFormat="1" applyFont="1" applyBorder="1"/>
    <xf numFmtId="165" fontId="36" fillId="2" borderId="3" xfId="9" applyNumberFormat="1" applyFont="1" applyFill="1" applyBorder="1" applyAlignment="1">
      <alignment horizontal="left"/>
    </xf>
    <xf numFmtId="165" fontId="36" fillId="2" borderId="0" xfId="9" applyNumberFormat="1" applyFont="1" applyFill="1"/>
    <xf numFmtId="165" fontId="36" fillId="2" borderId="1" xfId="9" applyNumberFormat="1" applyFont="1" applyFill="1" applyBorder="1" applyAlignment="1">
      <alignment horizontal="left"/>
    </xf>
    <xf numFmtId="165" fontId="36" fillId="0" borderId="29" xfId="9" applyNumberFormat="1" applyFont="1" applyBorder="1"/>
    <xf numFmtId="3" fontId="40" fillId="2" borderId="36" xfId="0" applyNumberFormat="1" applyFont="1" applyFill="1" applyBorder="1" applyAlignment="1">
      <alignment horizontal="center"/>
    </xf>
    <xf numFmtId="0" fontId="40" fillId="2" borderId="36" xfId="0" applyFont="1" applyFill="1" applyBorder="1" applyAlignment="1">
      <alignment horizontal="center"/>
    </xf>
    <xf numFmtId="165" fontId="36" fillId="2" borderId="5" xfId="9" applyNumberFormat="1" applyFont="1" applyFill="1" applyBorder="1" applyAlignment="1">
      <alignment horizontal="left"/>
    </xf>
    <xf numFmtId="165" fontId="36" fillId="2" borderId="0" xfId="9" applyNumberFormat="1" applyFont="1" applyFill="1" applyAlignment="1">
      <alignment horizontal="left"/>
    </xf>
    <xf numFmtId="0" fontId="40" fillId="11" borderId="3" xfId="0" applyFont="1" applyFill="1" applyBorder="1" applyAlignment="1">
      <alignment horizontal="center" vertical="center"/>
    </xf>
    <xf numFmtId="0" fontId="0" fillId="0" borderId="37" xfId="0" applyBorder="1"/>
    <xf numFmtId="0" fontId="36" fillId="2" borderId="0" xfId="0" applyFont="1" applyFill="1" applyAlignment="1">
      <alignment wrapText="1"/>
    </xf>
    <xf numFmtId="0" fontId="36" fillId="2" borderId="0" xfId="0" applyFont="1" applyFill="1" applyAlignment="1">
      <alignment wrapText="1"/>
    </xf>
    <xf numFmtId="0" fontId="40" fillId="2" borderId="38" xfId="0" applyFont="1" applyFill="1" applyBorder="1" applyAlignment="1">
      <alignment horizontal="left" vertical="center"/>
    </xf>
    <xf numFmtId="0" fontId="0" fillId="0" borderId="24" xfId="0" applyBorder="1"/>
    <xf numFmtId="0" fontId="0" fillId="0" borderId="38" xfId="0" applyBorder="1"/>
    <xf numFmtId="0" fontId="40" fillId="2" borderId="0" xfId="0" applyFont="1" applyFill="1" applyAlignment="1">
      <alignment horizontal="center" wrapText="1"/>
    </xf>
    <xf numFmtId="0" fontId="40" fillId="0" borderId="0" xfId="0" applyFont="1" applyAlignment="1">
      <alignment horizontal="center"/>
    </xf>
    <xf numFmtId="16" fontId="40" fillId="0" borderId="0" xfId="0" applyNumberFormat="1" applyFont="1" applyAlignment="1">
      <alignment horizontal="center"/>
    </xf>
    <xf numFmtId="16" fontId="40" fillId="2" borderId="0" xfId="0" applyNumberFormat="1" applyFont="1" applyFill="1" applyAlignment="1">
      <alignment horizontal="center" wrapText="1"/>
    </xf>
    <xf numFmtId="16" fontId="36" fillId="2" borderId="0" xfId="0" applyNumberFormat="1" applyFont="1" applyFill="1" applyAlignment="1">
      <alignment wrapText="1"/>
    </xf>
    <xf numFmtId="16" fontId="36" fillId="0" borderId="0" xfId="0" applyNumberFormat="1" applyFont="1"/>
    <xf numFmtId="3" fontId="36" fillId="0" borderId="0" xfId="0" applyNumberFormat="1" applyFont="1"/>
    <xf numFmtId="9" fontId="36" fillId="4" borderId="31" xfId="10" applyFont="1" applyFill="1" applyBorder="1"/>
    <xf numFmtId="0" fontId="36" fillId="4" borderId="31" xfId="0" applyFont="1" applyFill="1" applyBorder="1"/>
    <xf numFmtId="41" fontId="36" fillId="4" borderId="31" xfId="9" applyNumberFormat="1" applyFont="1" applyFill="1" applyBorder="1"/>
    <xf numFmtId="41" fontId="36" fillId="4" borderId="31" xfId="0" applyNumberFormat="1" applyFont="1" applyFill="1" applyBorder="1"/>
    <xf numFmtId="41" fontId="36" fillId="4" borderId="39" xfId="9" applyNumberFormat="1" applyFont="1" applyFill="1" applyBorder="1"/>
    <xf numFmtId="165" fontId="36" fillId="0" borderId="33" xfId="9" applyNumberFormat="1" applyFont="1" applyBorder="1" applyAlignment="1">
      <alignment horizontal="left"/>
    </xf>
    <xf numFmtId="9" fontId="36" fillId="2" borderId="33" xfId="10" applyFont="1" applyFill="1" applyBorder="1" applyAlignment="1">
      <alignment horizontal="right"/>
    </xf>
    <xf numFmtId="165" fontId="36" fillId="2" borderId="33" xfId="9" applyNumberFormat="1" applyFont="1" applyFill="1" applyBorder="1" applyAlignment="1">
      <alignment horizontal="left"/>
    </xf>
    <xf numFmtId="41" fontId="36" fillId="0" borderId="33" xfId="9" applyNumberFormat="1" applyFont="1" applyBorder="1" applyAlignment="1">
      <alignment horizontal="left"/>
    </xf>
    <xf numFmtId="41" fontId="36" fillId="2" borderId="40" xfId="9" applyNumberFormat="1" applyFont="1" applyFill="1" applyBorder="1" applyAlignment="1">
      <alignment horizontal="left"/>
    </xf>
    <xf numFmtId="3" fontId="40" fillId="0" borderId="0" xfId="0" applyNumberFormat="1" applyFont="1" applyAlignment="1">
      <alignment horizontal="center"/>
    </xf>
    <xf numFmtId="165" fontId="36" fillId="0" borderId="1" xfId="9" applyNumberFormat="1" applyFont="1" applyBorder="1" applyAlignment="1">
      <alignment horizontal="left"/>
    </xf>
    <xf numFmtId="9" fontId="36" fillId="2" borderId="1" xfId="10" applyFont="1" applyFill="1" applyBorder="1" applyAlignment="1">
      <alignment horizontal="right"/>
    </xf>
    <xf numFmtId="165" fontId="36" fillId="2" borderId="1" xfId="9" applyNumberFormat="1" applyFont="1" applyFill="1" applyBorder="1" applyAlignment="1">
      <alignment horizontal="left"/>
    </xf>
    <xf numFmtId="41" fontId="36" fillId="0" borderId="1" xfId="9" applyNumberFormat="1" applyFont="1" applyBorder="1" applyAlignment="1">
      <alignment horizontal="left"/>
    </xf>
    <xf numFmtId="41" fontId="36" fillId="2" borderId="10" xfId="9" applyNumberFormat="1" applyFont="1" applyFill="1" applyBorder="1" applyAlignment="1">
      <alignment horizontal="left"/>
    </xf>
    <xf numFmtId="0" fontId="40" fillId="2" borderId="19" xfId="0" applyFont="1" applyFill="1" applyBorder="1" applyAlignment="1">
      <alignment horizontal="center"/>
    </xf>
    <xf numFmtId="0" fontId="36" fillId="0" borderId="5" xfId="0" applyFont="1" applyBorder="1"/>
    <xf numFmtId="0" fontId="40" fillId="11" borderId="41" xfId="0" applyFont="1" applyFill="1" applyBorder="1" applyAlignment="1">
      <alignment horizontal="center" vertical="center"/>
    </xf>
    <xf numFmtId="0" fontId="0" fillId="0" borderId="42" xfId="0" applyBorder="1"/>
    <xf numFmtId="0" fontId="40" fillId="0" borderId="5" xfId="0" applyFont="1" applyBorder="1" applyAlignment="1">
      <alignment vertical="center" wrapText="1"/>
    </xf>
    <xf numFmtId="0" fontId="40" fillId="2" borderId="0" xfId="0" applyFont="1" applyFill="1" applyAlignment="1">
      <alignment vertical="center" wrapText="1"/>
    </xf>
    <xf numFmtId="0" fontId="40" fillId="0" borderId="0" xfId="0" applyFont="1" applyAlignment="1">
      <alignment vertical="center" wrapText="1"/>
    </xf>
    <xf numFmtId="0" fontId="40" fillId="2" borderId="19" xfId="0" applyFont="1" applyFill="1" applyBorder="1"/>
    <xf numFmtId="0" fontId="40" fillId="2" borderId="0" xfId="0" applyFont="1" applyFill="1"/>
    <xf numFmtId="16" fontId="40" fillId="2" borderId="0" xfId="0" applyNumberFormat="1" applyFont="1" applyFill="1"/>
    <xf numFmtId="16" fontId="36" fillId="2" borderId="0" xfId="0" applyNumberFormat="1" applyFont="1" applyFill="1"/>
    <xf numFmtId="0" fontId="41" fillId="3" borderId="43" xfId="0" applyFont="1" applyFill="1" applyBorder="1" applyAlignment="1">
      <alignment horizontal="center" vertical="center" wrapText="1"/>
    </xf>
    <xf numFmtId="0" fontId="41" fillId="3" borderId="34" xfId="0" applyFont="1" applyFill="1" applyBorder="1" applyAlignment="1">
      <alignment vertical="center" wrapText="1"/>
    </xf>
    <xf numFmtId="0" fontId="40" fillId="0" borderId="19" xfId="0" applyFont="1" applyBorder="1" applyAlignment="1">
      <alignment horizontal="center"/>
    </xf>
    <xf numFmtId="165" fontId="36" fillId="11" borderId="32" xfId="9" applyNumberFormat="1" applyFont="1" applyFill="1" applyBorder="1"/>
    <xf numFmtId="0" fontId="36" fillId="4" borderId="31" xfId="0" applyFont="1" applyFill="1" applyBorder="1" applyAlignment="1">
      <alignment horizontal="center"/>
    </xf>
    <xf numFmtId="165" fontId="36" fillId="0" borderId="32" xfId="9" applyNumberFormat="1" applyFont="1" applyBorder="1"/>
    <xf numFmtId="3" fontId="40" fillId="0" borderId="19" xfId="0" applyNumberFormat="1" applyFont="1" applyBorder="1" applyAlignment="1">
      <alignment horizontal="center"/>
    </xf>
    <xf numFmtId="165" fontId="36" fillId="2" borderId="44" xfId="9" applyNumberFormat="1" applyFont="1" applyFill="1" applyBorder="1" applyAlignment="1">
      <alignment horizontal="left"/>
    </xf>
    <xf numFmtId="0" fontId="0" fillId="0" borderId="35" xfId="0" applyBorder="1"/>
    <xf numFmtId="165" fontId="36" fillId="0" borderId="0" xfId="9" applyNumberFormat="1" applyFont="1"/>
    <xf numFmtId="0" fontId="40" fillId="2" borderId="45" xfId="0" applyFont="1" applyFill="1" applyBorder="1" applyAlignment="1">
      <alignment horizontal="center"/>
    </xf>
    <xf numFmtId="16" fontId="40" fillId="2" borderId="0" xfId="0" applyNumberFormat="1" applyFont="1" applyFill="1" applyAlignment="1">
      <alignment horizontal="center"/>
    </xf>
    <xf numFmtId="0" fontId="40" fillId="2" borderId="5" xfId="0" applyFont="1" applyFill="1" applyBorder="1" applyAlignment="1">
      <alignment horizontal="left" vertical="center" wrapText="1"/>
    </xf>
    <xf numFmtId="0" fontId="36" fillId="2" borderId="19" xfId="0" applyFont="1" applyFill="1" applyBorder="1"/>
    <xf numFmtId="0" fontId="41" fillId="3" borderId="3" xfId="0" applyFont="1" applyFill="1" applyBorder="1" applyAlignment="1">
      <alignment horizontal="center" vertical="center" wrapText="1"/>
    </xf>
    <xf numFmtId="0" fontId="40" fillId="4" borderId="30" xfId="0" applyFont="1" applyFill="1" applyBorder="1"/>
    <xf numFmtId="41" fontId="36" fillId="4" borderId="31" xfId="0" applyNumberFormat="1" applyFont="1" applyFill="1" applyBorder="1" applyAlignment="1">
      <alignment horizontal="right"/>
    </xf>
    <xf numFmtId="165" fontId="36" fillId="4" borderId="31" xfId="9" applyNumberFormat="1" applyFont="1" applyFill="1" applyBorder="1" applyAlignment="1">
      <alignment horizontal="right"/>
    </xf>
    <xf numFmtId="3" fontId="36" fillId="2" borderId="19" xfId="0" applyNumberFormat="1" applyFont="1" applyFill="1" applyBorder="1"/>
    <xf numFmtId="165" fontId="40" fillId="13" borderId="33" xfId="9" applyNumberFormat="1" applyFont="1" applyFill="1" applyBorder="1" applyAlignment="1">
      <alignment horizontal="left"/>
    </xf>
    <xf numFmtId="165" fontId="36" fillId="13" borderId="33" xfId="9" applyNumberFormat="1" applyFont="1" applyFill="1" applyBorder="1" applyAlignment="1">
      <alignment horizontal="right"/>
    </xf>
    <xf numFmtId="165" fontId="36" fillId="2" borderId="0" xfId="0" applyNumberFormat="1" applyFont="1" applyFill="1"/>
    <xf numFmtId="165" fontId="36" fillId="0" borderId="33" xfId="9" applyNumberFormat="1" applyFont="1" applyBorder="1" applyAlignment="1">
      <alignment horizontal="right"/>
    </xf>
    <xf numFmtId="165" fontId="36" fillId="0" borderId="1" xfId="9" applyNumberFormat="1" applyFont="1" applyBorder="1" applyAlignment="1">
      <alignment horizontal="right"/>
    </xf>
    <xf numFmtId="165" fontId="36" fillId="2" borderId="33" xfId="9" applyNumberFormat="1" applyFont="1" applyFill="1" applyBorder="1" applyAlignment="1">
      <alignment horizontal="right"/>
    </xf>
    <xf numFmtId="165" fontId="42" fillId="13" borderId="1" xfId="9" applyNumberFormat="1" applyFont="1" applyFill="1" applyBorder="1" applyAlignment="1">
      <alignment horizontal="right"/>
    </xf>
    <xf numFmtId="165" fontId="40" fillId="13" borderId="1" xfId="9" applyNumberFormat="1" applyFont="1" applyFill="1" applyBorder="1" applyAlignment="1">
      <alignment horizontal="left"/>
    </xf>
    <xf numFmtId="165" fontId="36" fillId="13" borderId="1" xfId="9" applyNumberFormat="1" applyFont="1" applyFill="1" applyBorder="1" applyAlignment="1">
      <alignment horizontal="right"/>
    </xf>
    <xf numFmtId="165" fontId="43" fillId="2" borderId="1" xfId="9" applyNumberFormat="1" applyFont="1" applyFill="1" applyBorder="1" applyAlignment="1">
      <alignment horizontal="right"/>
    </xf>
    <xf numFmtId="165" fontId="36" fillId="2" borderId="1" xfId="9" applyNumberFormat="1" applyFont="1" applyFill="1" applyBorder="1" applyAlignment="1">
      <alignment horizontal="right"/>
    </xf>
    <xf numFmtId="0" fontId="40" fillId="2" borderId="38" xfId="0" applyFont="1" applyFill="1" applyBorder="1" applyAlignment="1">
      <alignment horizontal="center"/>
    </xf>
    <xf numFmtId="0" fontId="36" fillId="11" borderId="1" xfId="0" applyFont="1" applyFill="1" applyBorder="1" applyAlignment="1">
      <alignment horizontal="center" vertical="center"/>
    </xf>
    <xf numFmtId="0" fontId="40" fillId="0" borderId="46" xfId="0" applyFont="1" applyBorder="1" applyAlignment="1">
      <alignment horizontal="left" vertical="center"/>
    </xf>
    <xf numFmtId="16" fontId="40" fillId="2" borderId="19" xfId="0" applyNumberFormat="1" applyFont="1" applyFill="1" applyBorder="1" applyAlignment="1">
      <alignment horizontal="center"/>
    </xf>
    <xf numFmtId="0" fontId="36" fillId="4" borderId="3" xfId="0" applyFont="1" applyFill="1" applyBorder="1"/>
    <xf numFmtId="41" fontId="36" fillId="9" borderId="1" xfId="9" applyNumberFormat="1" applyFont="1" applyFill="1" applyBorder="1"/>
    <xf numFmtId="41" fontId="36" fillId="9" borderId="1" xfId="0" applyNumberFormat="1" applyFont="1" applyFill="1" applyBorder="1" applyAlignment="1">
      <alignment horizontal="right" vertical="top"/>
    </xf>
    <xf numFmtId="41" fontId="36" fillId="9" borderId="1" xfId="9" applyNumberFormat="1" applyFont="1" applyFill="1" applyBorder="1" applyAlignment="1">
      <alignment horizontal="right" vertical="top"/>
    </xf>
    <xf numFmtId="41" fontId="40" fillId="2" borderId="0" xfId="0" applyNumberFormat="1" applyFont="1" applyFill="1" applyAlignment="1">
      <alignment horizontal="center"/>
    </xf>
    <xf numFmtId="4" fontId="40" fillId="2" borderId="0" xfId="0" applyNumberFormat="1" applyFont="1" applyFill="1" applyAlignment="1">
      <alignment horizontal="center"/>
    </xf>
    <xf numFmtId="4" fontId="40" fillId="2" borderId="19" xfId="0" applyNumberFormat="1" applyFont="1" applyFill="1" applyBorder="1" applyAlignment="1">
      <alignment horizontal="center"/>
    </xf>
    <xf numFmtId="4" fontId="40" fillId="0" borderId="0" xfId="0" applyNumberFormat="1" applyFont="1" applyAlignment="1">
      <alignment horizontal="center"/>
    </xf>
    <xf numFmtId="4" fontId="36" fillId="0" borderId="0" xfId="0" applyNumberFormat="1" applyFont="1"/>
    <xf numFmtId="165" fontId="36" fillId="2" borderId="2" xfId="9" applyNumberFormat="1" applyFont="1" applyFill="1" applyBorder="1" applyAlignment="1">
      <alignment horizontal="right"/>
    </xf>
    <xf numFmtId="41" fontId="36" fillId="0" borderId="1" xfId="9" applyNumberFormat="1" applyFont="1" applyBorder="1" applyAlignment="1">
      <alignment horizontal="right" vertical="top"/>
    </xf>
    <xf numFmtId="165" fontId="36" fillId="2" borderId="3" xfId="9" applyNumberFormat="1" applyFont="1" applyFill="1" applyBorder="1" applyAlignment="1">
      <alignment horizontal="right"/>
    </xf>
    <xf numFmtId="4" fontId="40" fillId="0" borderId="0" xfId="0" applyNumberFormat="1" applyFont="1"/>
    <xf numFmtId="0" fontId="40" fillId="0" borderId="0" xfId="0" applyFont="1"/>
    <xf numFmtId="0" fontId="36" fillId="11" borderId="41" xfId="0" applyFont="1" applyFill="1" applyBorder="1" applyAlignment="1">
      <alignment horizontal="center" vertical="center"/>
    </xf>
    <xf numFmtId="169" fontId="36" fillId="9" borderId="1" xfId="9" applyNumberFormat="1" applyFont="1" applyFill="1" applyBorder="1"/>
    <xf numFmtId="169" fontId="36" fillId="9" borderId="1" xfId="0" applyNumberFormat="1" applyFont="1" applyFill="1" applyBorder="1" applyAlignment="1">
      <alignment horizontal="right" vertical="top"/>
    </xf>
    <xf numFmtId="169" fontId="36" fillId="9" borderId="1" xfId="9" applyNumberFormat="1" applyFont="1" applyFill="1" applyBorder="1" applyAlignment="1">
      <alignment horizontal="right" vertical="top"/>
    </xf>
    <xf numFmtId="169" fontId="36" fillId="0" borderId="1" xfId="9" applyNumberFormat="1" applyFont="1" applyBorder="1" applyAlignment="1">
      <alignment horizontal="left"/>
    </xf>
    <xf numFmtId="169" fontId="36" fillId="0" borderId="1" xfId="9" applyNumberFormat="1" applyFont="1" applyBorder="1" applyAlignment="1">
      <alignment horizontal="right" vertical="top"/>
    </xf>
    <xf numFmtId="0" fontId="40" fillId="0" borderId="5" xfId="0" applyFont="1" applyBorder="1" applyAlignment="1">
      <alignment horizontal="left" vertical="center"/>
    </xf>
    <xf numFmtId="4" fontId="36" fillId="0" borderId="0" xfId="0" applyNumberFormat="1" applyFont="1" applyAlignment="1">
      <alignment horizontal="center" wrapText="1"/>
    </xf>
    <xf numFmtId="0" fontId="36" fillId="0" borderId="0" xfId="0" applyFont="1" applyAlignment="1">
      <alignment horizontal="center" wrapText="1"/>
    </xf>
    <xf numFmtId="4" fontId="36" fillId="2" borderId="19" xfId="0" applyNumberFormat="1" applyFont="1" applyFill="1" applyBorder="1"/>
    <xf numFmtId="4" fontId="36" fillId="2" borderId="0" xfId="0" applyNumberFormat="1" applyFont="1" applyFill="1"/>
    <xf numFmtId="16" fontId="36" fillId="0" borderId="19" xfId="0" applyNumberFormat="1" applyFont="1" applyBorder="1"/>
    <xf numFmtId="169" fontId="36" fillId="2" borderId="0" xfId="9" applyNumberFormat="1" applyFont="1" applyFill="1" applyAlignment="1">
      <alignment horizontal="left"/>
    </xf>
    <xf numFmtId="0" fontId="36" fillId="0" borderId="19" xfId="0" applyFont="1" applyBorder="1"/>
    <xf numFmtId="16" fontId="0" fillId="0" borderId="0" xfId="0" applyNumberFormat="1"/>
    <xf numFmtId="41" fontId="36" fillId="2" borderId="0" xfId="9" applyNumberFormat="1" applyFont="1" applyFill="1" applyAlignment="1">
      <alignment horizontal="right"/>
    </xf>
    <xf numFmtId="171" fontId="36" fillId="2" borderId="0" xfId="9" applyNumberFormat="1" applyFont="1" applyFill="1" applyAlignment="1">
      <alignment horizontal="left"/>
    </xf>
    <xf numFmtId="165" fontId="40" fillId="0" borderId="0" xfId="9" applyNumberFormat="1" applyFont="1" applyAlignment="1">
      <alignment horizontal="left"/>
    </xf>
    <xf numFmtId="0" fontId="41" fillId="3" borderId="4" xfId="0" applyFont="1" applyFill="1" applyBorder="1" applyAlignment="1">
      <alignment horizontal="center" vertical="center" wrapText="1"/>
    </xf>
    <xf numFmtId="165" fontId="36" fillId="2" borderId="4" xfId="9" applyNumberFormat="1" applyFont="1" applyFill="1" applyBorder="1" applyAlignment="1">
      <alignment vertical="center"/>
    </xf>
    <xf numFmtId="165" fontId="36" fillId="2" borderId="1" xfId="9" applyNumberFormat="1" applyFont="1" applyFill="1" applyBorder="1" applyAlignment="1">
      <alignment vertical="center"/>
    </xf>
    <xf numFmtId="165" fontId="36" fillId="2" borderId="0" xfId="9" applyNumberFormat="1" applyFont="1" applyFill="1" applyAlignment="1">
      <alignment horizontal="center" vertical="center"/>
    </xf>
    <xf numFmtId="41" fontId="36" fillId="2" borderId="0" xfId="9" applyNumberFormat="1" applyFont="1" applyFill="1" applyAlignment="1">
      <alignment horizontal="left"/>
    </xf>
    <xf numFmtId="165" fontId="36" fillId="2" borderId="1" xfId="9" applyNumberFormat="1" applyFont="1" applyFill="1" applyBorder="1" applyAlignment="1">
      <alignment horizontal="left" vertical="center"/>
    </xf>
    <xf numFmtId="41" fontId="36" fillId="4" borderId="1" xfId="9" applyNumberFormat="1" applyFont="1" applyFill="1" applyBorder="1" applyAlignment="1">
      <alignment horizontal="left"/>
    </xf>
    <xf numFmtId="0" fontId="0" fillId="0" borderId="33" xfId="0" applyBorder="1"/>
    <xf numFmtId="0" fontId="36" fillId="11" borderId="47" xfId="0" applyFont="1" applyFill="1" applyBorder="1" applyAlignment="1">
      <alignment horizontal="center" vertical="center"/>
    </xf>
    <xf numFmtId="0" fontId="36" fillId="11" borderId="48" xfId="0" applyFont="1" applyFill="1" applyBorder="1" applyAlignment="1">
      <alignment horizontal="center" vertical="center"/>
    </xf>
    <xf numFmtId="4" fontId="0" fillId="0" borderId="0" xfId="0" applyNumberFormat="1"/>
    <xf numFmtId="0" fontId="40" fillId="0" borderId="0" xfId="0" applyFont="1" applyAlignment="1">
      <alignment horizontal="left" vertical="center"/>
    </xf>
    <xf numFmtId="0" fontId="41" fillId="3" borderId="8" xfId="0" applyFont="1" applyFill="1" applyBorder="1" applyAlignment="1">
      <alignment horizontal="center" vertical="center" wrapText="1"/>
    </xf>
    <xf numFmtId="0" fontId="41" fillId="3" borderId="49" xfId="0" applyFont="1" applyFill="1" applyBorder="1" applyAlignment="1">
      <alignment horizontal="center" vertical="center" wrapText="1"/>
    </xf>
    <xf numFmtId="16" fontId="41" fillId="3" borderId="9" xfId="0" applyNumberFormat="1" applyFont="1" applyFill="1" applyBorder="1" applyAlignment="1">
      <alignment horizontal="center" vertical="center" wrapText="1"/>
    </xf>
    <xf numFmtId="165" fontId="40" fillId="11" borderId="30" xfId="9" applyNumberFormat="1" applyFont="1" applyFill="1" applyBorder="1" applyAlignment="1">
      <alignment horizontal="left"/>
    </xf>
    <xf numFmtId="165" fontId="40" fillId="11" borderId="31" xfId="9" applyNumberFormat="1" applyFont="1" applyFill="1" applyBorder="1" applyAlignment="1">
      <alignment horizontal="left"/>
    </xf>
    <xf numFmtId="165" fontId="40" fillId="11" borderId="39" xfId="9" applyNumberFormat="1" applyFont="1" applyFill="1" applyBorder="1" applyAlignment="1">
      <alignment horizontal="left"/>
    </xf>
    <xf numFmtId="165" fontId="36" fillId="0" borderId="2" xfId="9" applyNumberFormat="1" applyFont="1" applyBorder="1" applyAlignment="1">
      <alignment horizontal="left"/>
    </xf>
    <xf numFmtId="165" fontId="36" fillId="0" borderId="50" xfId="9" applyNumberFormat="1" applyFont="1" applyBorder="1" applyAlignment="1">
      <alignment horizontal="left"/>
    </xf>
    <xf numFmtId="165" fontId="36" fillId="0" borderId="3" xfId="9" applyNumberFormat="1" applyFont="1" applyBorder="1" applyAlignment="1">
      <alignment horizontal="left"/>
    </xf>
    <xf numFmtId="165" fontId="36" fillId="0" borderId="10" xfId="9" applyNumberFormat="1" applyFont="1" applyBorder="1" applyAlignment="1">
      <alignment horizontal="left"/>
    </xf>
    <xf numFmtId="165" fontId="36" fillId="0" borderId="51" xfId="9" applyNumberFormat="1" applyFont="1" applyBorder="1" applyAlignment="1">
      <alignment horizontal="left"/>
    </xf>
    <xf numFmtId="165" fontId="36" fillId="0" borderId="52" xfId="9" applyNumberFormat="1" applyFont="1" applyBorder="1" applyAlignment="1">
      <alignment horizontal="left"/>
    </xf>
    <xf numFmtId="165" fontId="36" fillId="0" borderId="11" xfId="9" applyNumberFormat="1" applyFont="1" applyBorder="1" applyAlignment="1">
      <alignment horizontal="left"/>
    </xf>
    <xf numFmtId="0" fontId="44" fillId="0" borderId="0" xfId="0" applyFont="1"/>
    <xf numFmtId="0" fontId="45" fillId="11" borderId="1" xfId="0" applyFont="1" applyFill="1" applyBorder="1" applyAlignment="1">
      <alignment horizontal="center" vertical="center"/>
    </xf>
    <xf numFmtId="0" fontId="16" fillId="14" borderId="53" xfId="0" applyFont="1" applyFill="1" applyBorder="1"/>
    <xf numFmtId="0" fontId="16" fillId="14" borderId="37" xfId="0" applyFont="1" applyFill="1" applyBorder="1"/>
    <xf numFmtId="0" fontId="16" fillId="14" borderId="29" xfId="0" applyFont="1" applyFill="1" applyBorder="1"/>
    <xf numFmtId="0" fontId="16" fillId="15" borderId="37" xfId="0" applyFont="1" applyFill="1" applyBorder="1"/>
    <xf numFmtId="0" fontId="16" fillId="15" borderId="29" xfId="0" applyFont="1" applyFill="1" applyBorder="1"/>
    <xf numFmtId="0" fontId="16" fillId="16" borderId="37" xfId="0" applyFont="1" applyFill="1" applyBorder="1"/>
    <xf numFmtId="0" fontId="16" fillId="16" borderId="29" xfId="0" applyFont="1" applyFill="1" applyBorder="1"/>
    <xf numFmtId="0" fontId="16" fillId="17" borderId="37" xfId="0" applyFont="1" applyFill="1" applyBorder="1"/>
    <xf numFmtId="0" fontId="16" fillId="17" borderId="29" xfId="0" applyFont="1" applyFill="1" applyBorder="1"/>
    <xf numFmtId="0" fontId="0" fillId="0" borderId="7" xfId="0" applyBorder="1"/>
    <xf numFmtId="0" fontId="16" fillId="14" borderId="33" xfId="0" applyFont="1" applyFill="1" applyBorder="1" applyAlignment="1">
      <alignment horizontal="center"/>
    </xf>
    <xf numFmtId="0" fontId="16" fillId="15" borderId="33" xfId="0" applyFont="1" applyFill="1" applyBorder="1" applyAlignment="1">
      <alignment horizontal="center"/>
    </xf>
    <xf numFmtId="0" fontId="16" fillId="16" borderId="33" xfId="0" applyFont="1" applyFill="1" applyBorder="1" applyAlignment="1">
      <alignment horizontal="center"/>
    </xf>
    <xf numFmtId="0" fontId="16" fillId="17" borderId="43" xfId="0" applyFont="1" applyFill="1" applyBorder="1" applyAlignment="1">
      <alignment horizontal="center"/>
    </xf>
    <xf numFmtId="0" fontId="16" fillId="17" borderId="34" xfId="0" applyFont="1" applyFill="1" applyBorder="1" applyAlignment="1">
      <alignment horizontal="center"/>
    </xf>
    <xf numFmtId="0" fontId="16" fillId="14"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0" borderId="1" xfId="0" applyFont="1" applyBorder="1"/>
    <xf numFmtId="171" fontId="46" fillId="2" borderId="1" xfId="9" applyNumberFormat="1" applyFont="1" applyFill="1" applyBorder="1" applyAlignment="1">
      <alignment horizontal="left"/>
    </xf>
    <xf numFmtId="0" fontId="16" fillId="0" borderId="33" xfId="0" applyFont="1" applyBorder="1"/>
    <xf numFmtId="171" fontId="46" fillId="2" borderId="33" xfId="9" applyNumberFormat="1" applyFont="1" applyFill="1" applyBorder="1" applyAlignment="1">
      <alignment horizontal="left"/>
    </xf>
    <xf numFmtId="0" fontId="45" fillId="4" borderId="33" xfId="0" applyFont="1" applyFill="1" applyBorder="1"/>
    <xf numFmtId="0" fontId="35" fillId="0" borderId="0" xfId="0" applyFont="1"/>
    <xf numFmtId="0" fontId="45" fillId="4" borderId="1" xfId="0" applyFont="1" applyFill="1" applyBorder="1" applyAlignment="1">
      <alignment horizontal="center" vertical="center"/>
    </xf>
    <xf numFmtId="0" fontId="45" fillId="4" borderId="0" xfId="0" applyFont="1" applyFill="1"/>
    <xf numFmtId="0" fontId="16" fillId="4" borderId="0" xfId="0" applyFont="1" applyFill="1"/>
    <xf numFmtId="165" fontId="46" fillId="2" borderId="1" xfId="9" applyNumberFormat="1" applyFont="1" applyFill="1" applyBorder="1" applyAlignment="1">
      <alignment horizontal="left"/>
    </xf>
    <xf numFmtId="165" fontId="46" fillId="2" borderId="52" xfId="9" applyNumberFormat="1" applyFont="1" applyFill="1" applyBorder="1" applyAlignment="1">
      <alignment horizontal="left"/>
    </xf>
    <xf numFmtId="165" fontId="46" fillId="2" borderId="33" xfId="9" applyNumberFormat="1" applyFont="1" applyFill="1" applyBorder="1" applyAlignment="1">
      <alignment horizontal="left"/>
    </xf>
    <xf numFmtId="0" fontId="47" fillId="0" borderId="0" xfId="0" applyFont="1" applyAlignment="1">
      <alignment wrapText="1"/>
    </xf>
    <xf numFmtId="0" fontId="48" fillId="3" borderId="8" xfId="0" applyFont="1" applyFill="1" applyBorder="1" applyAlignment="1">
      <alignment horizontal="center" vertical="center" wrapText="1"/>
    </xf>
    <xf numFmtId="172" fontId="48" fillId="3" borderId="9" xfId="0" applyNumberFormat="1" applyFont="1" applyFill="1" applyBorder="1" applyAlignment="1">
      <alignment horizontal="center" vertical="center" wrapText="1"/>
    </xf>
    <xf numFmtId="165" fontId="44" fillId="13" borderId="3" xfId="9" applyNumberFormat="1" applyFont="1" applyFill="1" applyBorder="1" applyAlignment="1">
      <alignment horizontal="left"/>
    </xf>
    <xf numFmtId="3" fontId="4" fillId="2" borderId="10" xfId="9" applyNumberFormat="1" applyFont="1" applyFill="1" applyBorder="1" applyAlignment="1">
      <alignment horizontal="right"/>
    </xf>
    <xf numFmtId="41" fontId="4" fillId="2" borderId="10" xfId="9" applyNumberFormat="1" applyFont="1" applyFill="1" applyBorder="1" applyAlignment="1">
      <alignment horizontal="right"/>
    </xf>
    <xf numFmtId="165" fontId="44" fillId="13" borderId="51" xfId="9" applyNumberFormat="1" applyFont="1" applyFill="1" applyBorder="1" applyAlignment="1">
      <alignment horizontal="left"/>
    </xf>
    <xf numFmtId="41" fontId="4" fillId="2" borderId="11" xfId="9" applyNumberFormat="1" applyFont="1" applyFill="1" applyBorder="1" applyAlignment="1">
      <alignment horizontal="right"/>
    </xf>
    <xf numFmtId="3" fontId="4" fillId="2" borderId="0" xfId="9" applyNumberFormat="1" applyFont="1" applyFill="1" applyAlignment="1">
      <alignment horizontal="right"/>
    </xf>
    <xf numFmtId="172" fontId="48" fillId="3" borderId="49" xfId="0" applyNumberFormat="1" applyFont="1" applyFill="1" applyBorder="1" applyAlignment="1">
      <alignment horizontal="center" vertical="center" wrapText="1"/>
    </xf>
    <xf numFmtId="41" fontId="4" fillId="18" borderId="1" xfId="9" applyNumberFormat="1" applyFont="1" applyFill="1" applyBorder="1" applyAlignment="1">
      <alignment horizontal="right"/>
    </xf>
    <xf numFmtId="41" fontId="4" fillId="2" borderId="1" xfId="9" applyNumberFormat="1" applyFont="1" applyFill="1" applyBorder="1" applyAlignment="1">
      <alignment horizontal="right"/>
    </xf>
    <xf numFmtId="41" fontId="4" fillId="18" borderId="10" xfId="9" applyNumberFormat="1" applyFont="1" applyFill="1" applyBorder="1" applyAlignment="1">
      <alignment horizontal="right"/>
    </xf>
    <xf numFmtId="41" fontId="4" fillId="0" borderId="1" xfId="9" applyNumberFormat="1" applyFont="1" applyBorder="1" applyAlignment="1">
      <alignment horizontal="right"/>
    </xf>
    <xf numFmtId="41" fontId="4" fillId="0" borderId="10" xfId="9" applyNumberFormat="1" applyFont="1" applyBorder="1" applyAlignment="1">
      <alignment horizontal="right"/>
    </xf>
    <xf numFmtId="41" fontId="4" fillId="2" borderId="52" xfId="9" applyNumberFormat="1" applyFont="1" applyFill="1" applyBorder="1" applyAlignment="1">
      <alignment horizontal="right"/>
    </xf>
    <xf numFmtId="165" fontId="44" fillId="0" borderId="0" xfId="9" applyNumberFormat="1" applyFont="1" applyAlignment="1">
      <alignment horizontal="left"/>
    </xf>
    <xf numFmtId="41" fontId="4" fillId="2" borderId="0" xfId="9" applyNumberFormat="1" applyFont="1" applyFill="1" applyAlignment="1">
      <alignment horizontal="right"/>
    </xf>
    <xf numFmtId="172" fontId="48" fillId="19" borderId="28" xfId="0" applyNumberFormat="1" applyFont="1" applyFill="1" applyBorder="1" applyAlignment="1">
      <alignment horizontal="center" vertical="center" wrapText="1"/>
    </xf>
    <xf numFmtId="172" fontId="48" fillId="19" borderId="49" xfId="0" applyNumberFormat="1" applyFont="1" applyFill="1" applyBorder="1" applyAlignment="1">
      <alignment horizontal="center" vertical="center" wrapText="1"/>
    </xf>
    <xf numFmtId="172" fontId="48" fillId="19" borderId="9" xfId="0" applyNumberFormat="1" applyFont="1" applyFill="1" applyBorder="1" applyAlignment="1">
      <alignment horizontal="center" vertical="center" wrapText="1"/>
    </xf>
    <xf numFmtId="41" fontId="4" fillId="2" borderId="29" xfId="9" applyNumberFormat="1" applyFont="1" applyFill="1" applyBorder="1" applyAlignment="1">
      <alignment horizontal="right"/>
    </xf>
    <xf numFmtId="166" fontId="4" fillId="2" borderId="1" xfId="9" applyNumberFormat="1" applyFont="1" applyFill="1" applyBorder="1" applyAlignment="1">
      <alignment horizontal="right"/>
    </xf>
    <xf numFmtId="166" fontId="4" fillId="2" borderId="10" xfId="9" applyNumberFormat="1" applyFont="1" applyFill="1" applyBorder="1" applyAlignment="1">
      <alignment horizontal="right"/>
    </xf>
    <xf numFmtId="166" fontId="4" fillId="2" borderId="29" xfId="9" applyNumberFormat="1" applyFont="1" applyFill="1" applyBorder="1" applyAlignment="1">
      <alignment horizontal="right"/>
    </xf>
    <xf numFmtId="173" fontId="4" fillId="2" borderId="1" xfId="9" applyNumberFormat="1" applyFont="1" applyFill="1" applyBorder="1" applyAlignment="1">
      <alignment horizontal="right"/>
    </xf>
    <xf numFmtId="173" fontId="4" fillId="2" borderId="10" xfId="9" applyNumberFormat="1" applyFont="1" applyFill="1" applyBorder="1" applyAlignment="1">
      <alignment horizontal="right"/>
    </xf>
    <xf numFmtId="173" fontId="4" fillId="2" borderId="29" xfId="9" applyNumberFormat="1" applyFont="1" applyFill="1" applyBorder="1" applyAlignment="1">
      <alignment horizontal="right"/>
    </xf>
    <xf numFmtId="171" fontId="4" fillId="2" borderId="52" xfId="9" applyNumberFormat="1" applyFont="1" applyFill="1" applyBorder="1" applyAlignment="1">
      <alignment horizontal="right"/>
    </xf>
    <xf numFmtId="171" fontId="4" fillId="2" borderId="11" xfId="9" applyNumberFormat="1" applyFont="1" applyFill="1" applyBorder="1" applyAlignment="1">
      <alignment horizontal="right"/>
    </xf>
    <xf numFmtId="171" fontId="4" fillId="2" borderId="54" xfId="9" applyNumberFormat="1" applyFont="1" applyFill="1" applyBorder="1" applyAlignment="1">
      <alignment horizontal="right"/>
    </xf>
    <xf numFmtId="0" fontId="2" fillId="0" borderId="0" xfId="3" applyFont="1" applyAlignment="1">
      <alignment horizontal="left" vertical="center"/>
    </xf>
    <xf numFmtId="0" fontId="0" fillId="0" borderId="2" xfId="0" applyBorder="1"/>
    <xf numFmtId="0" fontId="0" fillId="0" borderId="6" xfId="0" applyBorder="1"/>
    <xf numFmtId="0" fontId="4" fillId="0" borderId="10" xfId="0" applyFont="1" applyBorder="1"/>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51" xfId="0" applyFont="1" applyBorder="1" applyAlignment="1">
      <alignment vertical="top" wrapText="1"/>
    </xf>
  </cellXfs>
  <cellStyles count="11">
    <cellStyle name="Comma" xfId="6" builtinId="3"/>
    <cellStyle name="Comma 2" xfId="9" xr:uid="{4D8D78E1-D1A4-476A-B456-29CB609AEC31}"/>
    <cellStyle name="Currency" xfId="7" builtinId="4"/>
    <cellStyle name="Normal" xfId="0" builtinId="0"/>
    <cellStyle name="Normal 2" xfId="3" xr:uid="{00000000-0005-0000-0000-000002000000}"/>
    <cellStyle name="Normal 2 2" xfId="4" xr:uid="{A4A51A68-C48F-49A0-AF6C-5F5C7DBA2DBD}"/>
    <cellStyle name="Normal 3" xfId="5" xr:uid="{2BF4FF3A-45F3-4FE0-8060-980C3221C364}"/>
    <cellStyle name="Normal 5" xfId="1" xr:uid="{00000000-0005-0000-0000-000003000000}"/>
    <cellStyle name="Normal_FLQuickRefGuide_4.27.09" xfId="2" xr:uid="{00000000-0005-0000-0000-000004000000}"/>
    <cellStyle name="Percent" xfId="8" builtinId="5"/>
    <cellStyle name="Percent 2" xfId="10" xr:uid="{B590231B-B699-4054-A0E9-378A2FD5236B}"/>
  </cellStyles>
  <dxfs count="0"/>
  <tableStyles count="0" defaultTableStyle="TableStyleMedium2" defaultPivotStyle="PivotStyleLight16"/>
  <colors>
    <mruColors>
      <color rgb="FFFF7C80"/>
      <color rgb="FF3399FF"/>
      <color rgb="FF33CCCC"/>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51DA-FCAF-49C6-B81A-97F66882287D}">
  <sheetPr>
    <tabColor theme="0"/>
  </sheetPr>
  <dimension ref="A1:AV168"/>
  <sheetViews>
    <sheetView showGridLines="0" tabSelected="1" zoomScale="106" zoomScaleNormal="106" zoomScalePageLayoutView="110" workbookViewId="0">
      <selection sqref="A1:G1"/>
    </sheetView>
  </sheetViews>
  <sheetFormatPr defaultRowHeight="1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106" customWidth="1"/>
    <col min="7" max="7" width="22" style="107" customWidth="1"/>
    <col min="8" max="8" width="19.5703125" customWidth="1"/>
  </cols>
  <sheetData>
    <row r="1" spans="1:48" ht="38.450000000000003" customHeight="1" x14ac:dyDescent="0.25">
      <c r="A1" s="135" t="s">
        <v>1021</v>
      </c>
      <c r="B1" s="135"/>
      <c r="C1" s="135"/>
      <c r="D1" s="135"/>
      <c r="E1" s="135"/>
      <c r="F1" s="135"/>
      <c r="G1" s="135"/>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25">
      <c r="A2" s="136" t="s">
        <v>1</v>
      </c>
      <c r="B2" s="136"/>
      <c r="C2" s="136"/>
      <c r="D2" s="136"/>
      <c r="E2" s="136"/>
      <c r="F2" s="136"/>
      <c r="G2" s="136"/>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25">
      <c r="A3" s="136"/>
      <c r="B3" s="136"/>
      <c r="C3" s="136"/>
      <c r="D3" s="136"/>
      <c r="E3" s="136"/>
      <c r="F3" s="136"/>
      <c r="G3" s="136"/>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25" x14ac:dyDescent="0.25">
      <c r="A4" s="137" t="s">
        <v>1148</v>
      </c>
      <c r="B4" s="137"/>
      <c r="C4" s="137"/>
      <c r="D4" s="137"/>
      <c r="E4" s="137"/>
      <c r="F4" s="137"/>
      <c r="G4" s="137"/>
      <c r="H4" s="65"/>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25" x14ac:dyDescent="0.25">
      <c r="A5" s="66"/>
      <c r="B5" s="66"/>
      <c r="C5" s="66"/>
      <c r="D5" s="66"/>
      <c r="E5" s="66"/>
      <c r="F5" s="66"/>
      <c r="G5" s="66"/>
      <c r="H5" s="65"/>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75" x14ac:dyDescent="0.25">
      <c r="A6" s="67"/>
      <c r="B6" s="67"/>
      <c r="C6" s="67"/>
      <c r="D6" s="68"/>
      <c r="E6" s="68"/>
      <c r="F6" s="69"/>
      <c r="G6" s="70"/>
      <c r="H6" s="68"/>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25">
      <c r="A7" s="138" t="s">
        <v>1149</v>
      </c>
      <c r="B7" s="138"/>
      <c r="C7" s="138"/>
      <c r="D7" s="71"/>
      <c r="E7" s="139" t="s">
        <v>1150</v>
      </c>
      <c r="F7" s="139"/>
      <c r="G7" s="139"/>
      <c r="H7" s="68"/>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75" x14ac:dyDescent="0.25">
      <c r="A8" s="72" t="s">
        <v>1151</v>
      </c>
      <c r="B8" s="72" t="s">
        <v>1152</v>
      </c>
      <c r="C8" s="72" t="s">
        <v>1153</v>
      </c>
      <c r="D8" s="68"/>
      <c r="E8" s="73" t="s">
        <v>1154</v>
      </c>
      <c r="F8" s="74" t="s">
        <v>1152</v>
      </c>
      <c r="G8" s="75" t="s">
        <v>1155</v>
      </c>
      <c r="H8" s="68"/>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75" x14ac:dyDescent="0.25">
      <c r="A9" s="76" t="s">
        <v>1156</v>
      </c>
      <c r="B9" s="77">
        <v>127296</v>
      </c>
      <c r="C9" s="78">
        <v>122204.1600003261</v>
      </c>
      <c r="D9" s="68"/>
      <c r="E9" s="79" t="s">
        <v>1157</v>
      </c>
      <c r="F9" s="80">
        <v>68473</v>
      </c>
      <c r="G9" s="81">
        <v>0.98</v>
      </c>
      <c r="H9" s="68"/>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75" x14ac:dyDescent="0.25">
      <c r="A10" s="76" t="s">
        <v>1158</v>
      </c>
      <c r="B10" s="82">
        <v>53192</v>
      </c>
      <c r="C10" s="83">
        <v>145746.0800000595</v>
      </c>
      <c r="D10" s="68"/>
      <c r="E10" s="79" t="s">
        <v>1159</v>
      </c>
      <c r="F10" s="84">
        <v>1380</v>
      </c>
      <c r="G10" s="85">
        <v>0.02</v>
      </c>
      <c r="H10" s="68"/>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75" x14ac:dyDescent="0.25">
      <c r="A11" s="76" t="s">
        <v>1160</v>
      </c>
      <c r="B11" s="82">
        <v>2686</v>
      </c>
      <c r="C11" s="83">
        <v>12087</v>
      </c>
      <c r="D11" s="68"/>
      <c r="E11" s="86" t="s">
        <v>1161</v>
      </c>
      <c r="F11" s="87">
        <v>69853</v>
      </c>
      <c r="G11" s="88">
        <v>1</v>
      </c>
      <c r="H11" s="68"/>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75" x14ac:dyDescent="0.25">
      <c r="A12" s="76" t="s">
        <v>1162</v>
      </c>
      <c r="B12" s="77">
        <v>6</v>
      </c>
      <c r="C12" s="78">
        <v>22.2</v>
      </c>
      <c r="D12" s="68"/>
      <c r="E12" s="89" t="s">
        <v>1163</v>
      </c>
      <c r="F12" s="89"/>
      <c r="G12" s="89"/>
      <c r="H12" s="68"/>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75" x14ac:dyDescent="0.25">
      <c r="A13" s="76" t="s">
        <v>1164</v>
      </c>
      <c r="B13" s="77">
        <v>1</v>
      </c>
      <c r="C13" s="78">
        <v>0</v>
      </c>
      <c r="D13" s="68"/>
      <c r="E13" s="89"/>
      <c r="F13" s="89"/>
      <c r="G13" s="89"/>
      <c r="H13" s="68"/>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75" x14ac:dyDescent="0.25">
      <c r="A14" s="86" t="s">
        <v>1161</v>
      </c>
      <c r="B14" s="90">
        <v>183181</v>
      </c>
      <c r="C14" s="91">
        <v>280059.43999919895</v>
      </c>
      <c r="D14" s="68"/>
      <c r="E14" s="89"/>
      <c r="F14" s="89"/>
      <c r="G14" s="89"/>
      <c r="H14" s="68"/>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75" x14ac:dyDescent="0.25">
      <c r="A15" s="134" t="s">
        <v>1165</v>
      </c>
      <c r="B15" s="134"/>
      <c r="C15" s="134"/>
      <c r="D15" s="68"/>
      <c r="E15" s="140" t="s">
        <v>1166</v>
      </c>
      <c r="F15" s="140"/>
      <c r="G15" s="140"/>
      <c r="H15" s="68"/>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47.45" customHeight="1" x14ac:dyDescent="0.25">
      <c r="A16" s="141" t="s">
        <v>1167</v>
      </c>
      <c r="B16" s="141"/>
      <c r="C16" s="141"/>
      <c r="D16" s="68"/>
      <c r="E16" s="140"/>
      <c r="F16" s="140"/>
      <c r="G16" s="140"/>
      <c r="H16" s="68"/>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32.450000000000003" customHeight="1" x14ac:dyDescent="0.25">
      <c r="A17" s="92"/>
      <c r="B17" s="92"/>
      <c r="C17" s="92"/>
      <c r="D17" s="71"/>
      <c r="E17" s="140"/>
      <c r="F17" s="140"/>
      <c r="G17" s="140"/>
      <c r="H17" s="68"/>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57.6" customHeight="1" x14ac:dyDescent="0.25">
      <c r="A18" s="138" t="s">
        <v>1168</v>
      </c>
      <c r="B18" s="138"/>
      <c r="C18" s="138"/>
      <c r="D18" s="68"/>
      <c r="E18" s="89"/>
      <c r="F18" s="89"/>
      <c r="G18" s="89"/>
      <c r="H18" s="68"/>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2.450000000000003" customHeight="1" x14ac:dyDescent="0.25">
      <c r="A19" s="72" t="s">
        <v>1169</v>
      </c>
      <c r="B19" s="72" t="s">
        <v>1152</v>
      </c>
      <c r="C19" s="72" t="s">
        <v>1027</v>
      </c>
      <c r="D19" s="93"/>
      <c r="E19" s="89"/>
      <c r="F19" s="89"/>
      <c r="G19" s="89"/>
      <c r="H19" s="68"/>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6.5" customHeight="1" x14ac:dyDescent="0.25">
      <c r="A20" s="76" t="s">
        <v>1170</v>
      </c>
      <c r="B20" s="82">
        <v>65714</v>
      </c>
      <c r="C20" s="94">
        <v>971.95390632133183</v>
      </c>
      <c r="D20" s="93"/>
      <c r="E20" s="89"/>
      <c r="F20" s="89"/>
      <c r="G20" s="89"/>
      <c r="H20" s="68"/>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5.75" x14ac:dyDescent="0.25">
      <c r="A21" s="76" t="s">
        <v>1171</v>
      </c>
      <c r="B21" s="77">
        <v>117467</v>
      </c>
      <c r="C21" s="95">
        <v>685.84610145828185</v>
      </c>
      <c r="D21" s="68"/>
      <c r="E21" s="142" t="s">
        <v>1172</v>
      </c>
      <c r="F21" s="143"/>
      <c r="G21" s="143"/>
      <c r="H21" s="68"/>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8" ht="17.100000000000001" customHeight="1" x14ac:dyDescent="0.25">
      <c r="A22" s="86" t="s">
        <v>1161</v>
      </c>
      <c r="B22" s="90">
        <v>183181</v>
      </c>
      <c r="C22" s="96">
        <v>788.48386568475985</v>
      </c>
      <c r="D22" s="68"/>
      <c r="E22" s="73" t="s">
        <v>1154</v>
      </c>
      <c r="F22" s="97" t="s">
        <v>1152</v>
      </c>
      <c r="G22" s="98" t="s">
        <v>1155</v>
      </c>
      <c r="H22" s="99"/>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row>
    <row r="23" spans="1:48" ht="18.95" customHeight="1" x14ac:dyDescent="0.25">
      <c r="A23" s="134" t="str">
        <f>A15</f>
        <v>Data from BI Inc. Participants Report, 07.11.2026</v>
      </c>
      <c r="B23" s="134"/>
      <c r="C23" s="134"/>
      <c r="D23" s="68"/>
      <c r="E23" s="79" t="s">
        <v>1157</v>
      </c>
      <c r="F23" s="80">
        <v>14206</v>
      </c>
      <c r="G23" s="81">
        <v>0.91100000000000003</v>
      </c>
      <c r="H23" s="68"/>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75" x14ac:dyDescent="0.25">
      <c r="A24" s="141" t="s">
        <v>1173</v>
      </c>
      <c r="B24" s="141"/>
      <c r="C24" s="141"/>
      <c r="D24" s="68"/>
      <c r="E24" s="79" t="s">
        <v>1159</v>
      </c>
      <c r="F24" s="80">
        <v>1380</v>
      </c>
      <c r="G24" s="81">
        <v>8.8999999999999996E-2</v>
      </c>
      <c r="H24" s="68"/>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75" x14ac:dyDescent="0.25">
      <c r="A25" s="92"/>
      <c r="B25" s="92"/>
      <c r="C25" s="92"/>
      <c r="D25" s="68"/>
      <c r="E25" s="86" t="s">
        <v>1161</v>
      </c>
      <c r="F25" s="87">
        <v>15586</v>
      </c>
      <c r="G25" s="88">
        <v>1</v>
      </c>
      <c r="H25" s="68"/>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44.45" customHeight="1" x14ac:dyDescent="0.25">
      <c r="A26" s="144" t="s">
        <v>1174</v>
      </c>
      <c r="B26" s="144"/>
      <c r="C26" s="144"/>
      <c r="D26" s="68"/>
      <c r="E26" s="140" t="s">
        <v>1175</v>
      </c>
      <c r="F26" s="140"/>
      <c r="G26" s="140"/>
      <c r="H26" s="68"/>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30" customHeight="1" x14ac:dyDescent="0.25">
      <c r="A27" s="100"/>
      <c r="B27" s="100"/>
      <c r="C27" s="100"/>
      <c r="D27" s="68"/>
      <c r="E27" s="140" t="s">
        <v>1166</v>
      </c>
      <c r="F27" s="140"/>
      <c r="G27" s="140"/>
      <c r="H27" s="68"/>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54.95" customHeight="1" thickBot="1" x14ac:dyDescent="0.3">
      <c r="A28" s="145" t="s">
        <v>1176</v>
      </c>
      <c r="B28" s="145"/>
      <c r="C28" s="145"/>
      <c r="D28" s="68"/>
      <c r="E28" s="67"/>
      <c r="F28" s="101"/>
      <c r="G28" s="70"/>
      <c r="H28" s="68"/>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48.6" customHeight="1" thickBot="1" x14ac:dyDescent="0.3">
      <c r="A29" s="102" t="s">
        <v>1177</v>
      </c>
      <c r="B29" s="102" t="s">
        <v>1152</v>
      </c>
      <c r="C29" s="102" t="s">
        <v>1178</v>
      </c>
      <c r="D29" s="99"/>
      <c r="E29" s="67"/>
      <c r="F29" s="101"/>
      <c r="G29" s="70"/>
      <c r="H29" s="9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5.6" customHeight="1" thickBot="1" x14ac:dyDescent="0.3">
      <c r="A30" s="103" t="s">
        <v>1161</v>
      </c>
      <c r="B30" s="104">
        <v>183181</v>
      </c>
      <c r="C30" s="105">
        <v>788.48386568475985</v>
      </c>
      <c r="D30" s="99"/>
      <c r="H30" s="9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6.5" thickBot="1" x14ac:dyDescent="0.3">
      <c r="A31" s="108" t="s">
        <v>1179</v>
      </c>
      <c r="B31" s="109">
        <v>6818</v>
      </c>
      <c r="C31" s="110">
        <v>717.35420944558518</v>
      </c>
      <c r="D31" s="99"/>
      <c r="H31" s="9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8.600000000000001" customHeight="1" thickBot="1" x14ac:dyDescent="0.3">
      <c r="A32" s="111" t="s">
        <v>1156</v>
      </c>
      <c r="B32" s="112">
        <v>2521</v>
      </c>
      <c r="C32" s="113">
        <v>880.14557715192382</v>
      </c>
      <c r="D32" s="68"/>
      <c r="H32" s="68"/>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8" ht="15" customHeight="1" thickBot="1" x14ac:dyDescent="0.3">
      <c r="A33" s="111" t="s">
        <v>1158</v>
      </c>
      <c r="B33" s="112">
        <v>4080</v>
      </c>
      <c r="C33" s="113">
        <v>616.43848039215686</v>
      </c>
      <c r="D33" s="68"/>
      <c r="H33" s="68"/>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row>
    <row r="34" spans="1:48" ht="17.25" customHeight="1" thickBot="1" x14ac:dyDescent="0.3">
      <c r="A34" s="111" t="s">
        <v>1160</v>
      </c>
      <c r="B34" s="112">
        <v>217</v>
      </c>
      <c r="C34" s="113">
        <v>723.52534562211986</v>
      </c>
      <c r="D34" s="68"/>
      <c r="H34" s="68"/>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row>
    <row r="35" spans="1:48" ht="16.5" thickBot="1" x14ac:dyDescent="0.3">
      <c r="A35" s="108" t="s">
        <v>1180</v>
      </c>
      <c r="B35" s="114">
        <v>8020</v>
      </c>
      <c r="C35" s="115">
        <v>895.11359102244387</v>
      </c>
      <c r="D35" s="116"/>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8" ht="16.5" thickBot="1" x14ac:dyDescent="0.3">
      <c r="A36" s="111" t="s">
        <v>1156</v>
      </c>
      <c r="B36" s="112">
        <v>6111</v>
      </c>
      <c r="C36" s="113">
        <v>1006.5205367370315</v>
      </c>
      <c r="D36" s="9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8" ht="16.5" thickBot="1" x14ac:dyDescent="0.3">
      <c r="A37" s="111" t="s">
        <v>1158</v>
      </c>
      <c r="B37" s="112">
        <v>1851</v>
      </c>
      <c r="C37" s="113">
        <v>532.55429497568878</v>
      </c>
      <c r="D37" s="9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8" ht="16.5" thickBot="1" x14ac:dyDescent="0.3">
      <c r="A38" s="111" t="s">
        <v>1160</v>
      </c>
      <c r="B38" s="112">
        <v>58</v>
      </c>
      <c r="C38" s="113">
        <v>727.68965517241384</v>
      </c>
      <c r="D38" s="9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8" ht="16.5" thickBot="1" x14ac:dyDescent="0.3">
      <c r="A39" s="108" t="s">
        <v>1181</v>
      </c>
      <c r="B39" s="109">
        <v>1110</v>
      </c>
      <c r="C39" s="110">
        <v>690.4405405405405</v>
      </c>
      <c r="D39" s="9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8" ht="16.5" thickBot="1" x14ac:dyDescent="0.3">
      <c r="A40" s="111" t="s">
        <v>1156</v>
      </c>
      <c r="B40" s="112">
        <v>636</v>
      </c>
      <c r="C40" s="113">
        <v>1062.8506289308177</v>
      </c>
      <c r="D40" s="9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8" ht="16.5" thickBot="1" x14ac:dyDescent="0.3">
      <c r="A41" s="111" t="s">
        <v>1162</v>
      </c>
      <c r="B41" s="112">
        <v>2</v>
      </c>
      <c r="C41" s="113">
        <v>343</v>
      </c>
      <c r="D41" s="9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8" ht="16.5" thickBot="1" x14ac:dyDescent="0.3">
      <c r="A42" s="111" t="s">
        <v>1158</v>
      </c>
      <c r="B42" s="112">
        <v>472</v>
      </c>
      <c r="C42" s="113">
        <v>190.10593220338984</v>
      </c>
      <c r="D42" s="9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8" ht="16.5" thickBot="1" x14ac:dyDescent="0.3">
      <c r="A43" s="108" t="s">
        <v>1182</v>
      </c>
      <c r="B43" s="114">
        <v>16967</v>
      </c>
      <c r="C43" s="115">
        <v>1053.4610125537808</v>
      </c>
      <c r="D43" s="9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8" ht="16.5" thickBot="1" x14ac:dyDescent="0.3">
      <c r="A44" s="117" t="s">
        <v>1156</v>
      </c>
      <c r="B44" s="118">
        <v>13068</v>
      </c>
      <c r="C44" s="119">
        <v>1184.5641261095807</v>
      </c>
      <c r="D44" s="116"/>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8" ht="16.5" thickBot="1" x14ac:dyDescent="0.3">
      <c r="A45" s="111" t="s">
        <v>1158</v>
      </c>
      <c r="B45" s="112">
        <v>3719</v>
      </c>
      <c r="C45" s="113">
        <v>610.77305727346061</v>
      </c>
      <c r="D45" s="9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8" ht="16.5" thickBot="1" x14ac:dyDescent="0.3">
      <c r="A46" s="111" t="s">
        <v>1160</v>
      </c>
      <c r="B46" s="112">
        <v>180</v>
      </c>
      <c r="C46" s="113">
        <v>681.8</v>
      </c>
      <c r="D46" s="9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8" ht="16.5" thickBot="1" x14ac:dyDescent="0.3">
      <c r="A47" s="108" t="s">
        <v>1183</v>
      </c>
      <c r="B47" s="109">
        <v>1699</v>
      </c>
      <c r="C47" s="110">
        <v>587.76103590347259</v>
      </c>
      <c r="D47" s="9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8" ht="16.5" thickBot="1" x14ac:dyDescent="0.3">
      <c r="A48" s="111" t="s">
        <v>1156</v>
      </c>
      <c r="B48" s="112">
        <v>334</v>
      </c>
      <c r="C48" s="113">
        <v>765.88922155688624</v>
      </c>
      <c r="D48" s="9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5" thickBot="1" x14ac:dyDescent="0.3">
      <c r="A49" s="111" t="s">
        <v>1158</v>
      </c>
      <c r="B49" s="112">
        <v>1255</v>
      </c>
      <c r="C49" s="113">
        <v>528.51553784860562</v>
      </c>
      <c r="D49" s="9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5" thickBot="1" x14ac:dyDescent="0.3">
      <c r="A50" s="111" t="s">
        <v>1160</v>
      </c>
      <c r="B50" s="112">
        <v>110</v>
      </c>
      <c r="C50" s="113">
        <v>722.83636363636367</v>
      </c>
      <c r="D50" s="9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5" thickBot="1" x14ac:dyDescent="0.3">
      <c r="A51" s="108" t="s">
        <v>1184</v>
      </c>
      <c r="B51" s="109">
        <v>2549</v>
      </c>
      <c r="C51" s="110">
        <v>842.45625735582587</v>
      </c>
      <c r="D51" s="9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5" thickBot="1" x14ac:dyDescent="0.3">
      <c r="A52" s="111" t="s">
        <v>1156</v>
      </c>
      <c r="B52" s="112">
        <v>1713</v>
      </c>
      <c r="C52" s="113">
        <v>901.14127262113254</v>
      </c>
      <c r="D52" s="9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5" thickBot="1" x14ac:dyDescent="0.3">
      <c r="A53" s="111" t="s">
        <v>1158</v>
      </c>
      <c r="B53" s="112">
        <v>678</v>
      </c>
      <c r="C53" s="113">
        <v>724.78761061946898</v>
      </c>
      <c r="D53" s="9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5" thickBot="1" x14ac:dyDescent="0.3">
      <c r="A54" s="111" t="s">
        <v>1160</v>
      </c>
      <c r="B54" s="112">
        <v>158</v>
      </c>
      <c r="C54" s="113">
        <v>711.13924050632909</v>
      </c>
      <c r="D54" s="9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5" thickBot="1" x14ac:dyDescent="0.3">
      <c r="A55" s="108" t="s">
        <v>1185</v>
      </c>
      <c r="B55" s="114">
        <v>7706</v>
      </c>
      <c r="C55" s="115">
        <v>1050.1496236698677</v>
      </c>
      <c r="D55" s="9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5" thickBot="1" x14ac:dyDescent="0.3">
      <c r="A56" s="111" t="s">
        <v>1156</v>
      </c>
      <c r="B56" s="112">
        <v>6724</v>
      </c>
      <c r="C56" s="113">
        <v>1131.4638607971447</v>
      </c>
      <c r="D56" s="9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5" thickBot="1" x14ac:dyDescent="0.3">
      <c r="A57" s="111" t="s">
        <v>1158</v>
      </c>
      <c r="B57" s="112">
        <v>953</v>
      </c>
      <c r="C57" s="113">
        <v>484.2392444910808</v>
      </c>
      <c r="D57" s="116"/>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5" thickBot="1" x14ac:dyDescent="0.3">
      <c r="A58" s="111" t="s">
        <v>1160</v>
      </c>
      <c r="B58" s="118">
        <v>29</v>
      </c>
      <c r="C58" s="119">
        <v>793.44827586206895</v>
      </c>
      <c r="D58" s="9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5" thickBot="1" x14ac:dyDescent="0.3">
      <c r="A59" s="120" t="s">
        <v>1186</v>
      </c>
      <c r="B59" s="109">
        <v>1326</v>
      </c>
      <c r="C59" s="110">
        <v>328.86349924585221</v>
      </c>
      <c r="D59" s="9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5" thickBot="1" x14ac:dyDescent="0.3">
      <c r="A60" s="111" t="s">
        <v>1156</v>
      </c>
      <c r="B60" s="112">
        <v>141</v>
      </c>
      <c r="C60" s="113">
        <v>748.468085106383</v>
      </c>
      <c r="D60" s="9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5" thickBot="1" x14ac:dyDescent="0.3">
      <c r="A61" s="111" t="s">
        <v>1158</v>
      </c>
      <c r="B61" s="112">
        <v>1050</v>
      </c>
      <c r="C61" s="113">
        <v>254.26380952380953</v>
      </c>
      <c r="D61" s="9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5" thickBot="1" x14ac:dyDescent="0.3">
      <c r="A62" s="117" t="s">
        <v>1160</v>
      </c>
      <c r="B62" s="118">
        <v>135</v>
      </c>
      <c r="C62" s="119">
        <v>470.82962962962961</v>
      </c>
      <c r="D62" s="9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5" thickBot="1" x14ac:dyDescent="0.3">
      <c r="A63" s="121" t="s">
        <v>1187</v>
      </c>
      <c r="B63" s="114">
        <v>625</v>
      </c>
      <c r="C63" s="115">
        <v>231.72</v>
      </c>
      <c r="D63" s="9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5" thickBot="1" x14ac:dyDescent="0.3">
      <c r="A64" s="111" t="s">
        <v>1156</v>
      </c>
      <c r="B64" s="112">
        <v>149</v>
      </c>
      <c r="C64" s="113">
        <v>356.3557046979866</v>
      </c>
      <c r="D64" s="9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5" thickBot="1" x14ac:dyDescent="0.3">
      <c r="A65" s="111" t="s">
        <v>1158</v>
      </c>
      <c r="B65" s="112">
        <v>465</v>
      </c>
      <c r="C65" s="113">
        <v>189.53978494623655</v>
      </c>
      <c r="D65" s="9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5" thickBot="1" x14ac:dyDescent="0.3">
      <c r="A66" s="111" t="s">
        <v>1160</v>
      </c>
      <c r="B66" s="112">
        <v>11</v>
      </c>
      <c r="C66" s="113">
        <v>326.54545454545456</v>
      </c>
      <c r="D66" s="9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5" thickBot="1" x14ac:dyDescent="0.3">
      <c r="A67" s="121" t="s">
        <v>1188</v>
      </c>
      <c r="B67" s="114">
        <v>3037</v>
      </c>
      <c r="C67" s="115">
        <v>575.06256173855775</v>
      </c>
      <c r="D67" s="9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5" thickBot="1" x14ac:dyDescent="0.3">
      <c r="A68" s="111" t="s">
        <v>1156</v>
      </c>
      <c r="B68" s="112">
        <v>991</v>
      </c>
      <c r="C68" s="113">
        <v>764.8940464177598</v>
      </c>
      <c r="D68" s="9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5" thickBot="1" x14ac:dyDescent="0.3">
      <c r="A69" s="111" t="s">
        <v>1158</v>
      </c>
      <c r="B69" s="112">
        <v>1977</v>
      </c>
      <c r="C69" s="113">
        <v>478.49873545776427</v>
      </c>
      <c r="D69" s="9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5" thickBot="1" x14ac:dyDescent="0.3">
      <c r="A70" s="117" t="s">
        <v>1160</v>
      </c>
      <c r="B70" s="118">
        <v>69</v>
      </c>
      <c r="C70" s="119">
        <v>615.40579710144925</v>
      </c>
      <c r="D70" s="9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7.45" customHeight="1" thickBot="1" x14ac:dyDescent="0.3">
      <c r="A71" s="121" t="s">
        <v>1189</v>
      </c>
      <c r="B71" s="114">
        <v>18999</v>
      </c>
      <c r="C71" s="115">
        <v>605.65150797410388</v>
      </c>
      <c r="D71" s="9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5" thickBot="1" x14ac:dyDescent="0.3">
      <c r="A72" s="111" t="s">
        <v>1156</v>
      </c>
      <c r="B72" s="112">
        <v>15197</v>
      </c>
      <c r="C72" s="113">
        <v>664.2591958939264</v>
      </c>
      <c r="D72" s="9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5" thickBot="1" x14ac:dyDescent="0.3">
      <c r="A73" s="111" t="s">
        <v>1162</v>
      </c>
      <c r="B73" s="112">
        <v>1</v>
      </c>
      <c r="C73" s="113">
        <v>19</v>
      </c>
      <c r="D73" s="9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5" thickBot="1" x14ac:dyDescent="0.3">
      <c r="A74" s="111" t="s">
        <v>1158</v>
      </c>
      <c r="B74" s="112">
        <v>3665</v>
      </c>
      <c r="C74" s="113">
        <v>362.21500682128243</v>
      </c>
      <c r="D74" s="9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5" thickBot="1" x14ac:dyDescent="0.3">
      <c r="A75" s="111" t="s">
        <v>1160</v>
      </c>
      <c r="B75" s="112">
        <v>136</v>
      </c>
      <c r="C75" s="113">
        <v>621.24264705882354</v>
      </c>
      <c r="D75" s="9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5" thickBot="1" x14ac:dyDescent="0.3">
      <c r="A76" s="121" t="s">
        <v>1190</v>
      </c>
      <c r="B76" s="114">
        <v>19380</v>
      </c>
      <c r="C76" s="115">
        <v>692.2131062951496</v>
      </c>
      <c r="D76" s="9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5" thickBot="1" x14ac:dyDescent="0.3">
      <c r="A77" s="111" t="s">
        <v>1156</v>
      </c>
      <c r="B77" s="112">
        <v>14245</v>
      </c>
      <c r="C77" s="113">
        <v>803.08831168831171</v>
      </c>
      <c r="D77" s="9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5" thickBot="1" x14ac:dyDescent="0.3">
      <c r="A78" s="111" t="s">
        <v>1158</v>
      </c>
      <c r="B78" s="112">
        <v>5109</v>
      </c>
      <c r="C78" s="113">
        <v>384.91015854374632</v>
      </c>
      <c r="D78" s="9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5" thickBot="1" x14ac:dyDescent="0.3">
      <c r="A79" s="111" t="s">
        <v>1160</v>
      </c>
      <c r="B79" s="112">
        <v>26</v>
      </c>
      <c r="C79" s="113">
        <v>330.42307692307691</v>
      </c>
      <c r="D79" s="9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5" thickBot="1" x14ac:dyDescent="0.3">
      <c r="A80" s="108" t="s">
        <v>1191</v>
      </c>
      <c r="B80" s="109">
        <v>6122</v>
      </c>
      <c r="C80" s="110">
        <v>694.62969617771967</v>
      </c>
      <c r="D80" s="9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5" thickBot="1" x14ac:dyDescent="0.3">
      <c r="A81" s="111" t="s">
        <v>1156</v>
      </c>
      <c r="B81" s="112">
        <v>2937</v>
      </c>
      <c r="C81" s="113">
        <v>807.96322778345245</v>
      </c>
      <c r="D81" s="116"/>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5" thickBot="1" x14ac:dyDescent="0.3">
      <c r="A82" s="111" t="s">
        <v>1158</v>
      </c>
      <c r="B82" s="112">
        <v>3086</v>
      </c>
      <c r="C82" s="113">
        <v>591.98898250162017</v>
      </c>
      <c r="D82" s="9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5" thickBot="1" x14ac:dyDescent="0.3">
      <c r="A83" s="117" t="s">
        <v>1160</v>
      </c>
      <c r="B83" s="118">
        <v>98</v>
      </c>
      <c r="C83" s="119">
        <v>526.82653061224494</v>
      </c>
      <c r="D83" s="9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5" thickBot="1" x14ac:dyDescent="0.3">
      <c r="A84" s="121" t="s">
        <v>1192</v>
      </c>
      <c r="B84" s="114">
        <v>10595</v>
      </c>
      <c r="C84" s="115">
        <v>695.53770646531382</v>
      </c>
      <c r="D84" s="9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5" thickBot="1" x14ac:dyDescent="0.3">
      <c r="A85" s="111" t="s">
        <v>1156</v>
      </c>
      <c r="B85" s="112">
        <v>8969</v>
      </c>
      <c r="C85" s="113">
        <v>746.2073809789274</v>
      </c>
      <c r="D85" s="9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5" thickBot="1" x14ac:dyDescent="0.3">
      <c r="A86" s="111" t="s">
        <v>1158</v>
      </c>
      <c r="B86" s="112">
        <v>1565</v>
      </c>
      <c r="C86" s="113">
        <v>404.00255591054315</v>
      </c>
      <c r="D86" s="9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5" thickBot="1" x14ac:dyDescent="0.3">
      <c r="A87" s="117" t="s">
        <v>1160</v>
      </c>
      <c r="B87" s="118">
        <v>61</v>
      </c>
      <c r="C87" s="119">
        <v>724.98360655737702</v>
      </c>
      <c r="D87" s="9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5" thickBot="1" x14ac:dyDescent="0.3">
      <c r="A88" s="121" t="s">
        <v>1193</v>
      </c>
      <c r="B88" s="114">
        <v>9486</v>
      </c>
      <c r="C88" s="115">
        <v>1111.3945814885094</v>
      </c>
      <c r="D88" s="9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5" thickBot="1" x14ac:dyDescent="0.3">
      <c r="A89" s="111" t="s">
        <v>1156</v>
      </c>
      <c r="B89" s="112">
        <v>8120</v>
      </c>
      <c r="C89" s="113">
        <v>1167.4136699507389</v>
      </c>
      <c r="D89" s="9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5" thickBot="1" x14ac:dyDescent="0.3">
      <c r="A90" s="111" t="s">
        <v>1158</v>
      </c>
      <c r="B90" s="112">
        <v>1327</v>
      </c>
      <c r="C90" s="113">
        <v>780.34513941220803</v>
      </c>
      <c r="D90" s="9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5" thickBot="1" x14ac:dyDescent="0.3">
      <c r="A91" s="117" t="s">
        <v>1160</v>
      </c>
      <c r="B91" s="118">
        <v>39</v>
      </c>
      <c r="C91" s="119">
        <v>712.10256410256409</v>
      </c>
      <c r="D91" s="9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5" thickBot="1" x14ac:dyDescent="0.3">
      <c r="A92" s="121" t="s">
        <v>1194</v>
      </c>
      <c r="B92" s="114">
        <v>7256</v>
      </c>
      <c r="C92" s="115">
        <v>816.18150496141129</v>
      </c>
      <c r="D92" s="9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5" thickBot="1" x14ac:dyDescent="0.3">
      <c r="A93" s="111" t="s">
        <v>1156</v>
      </c>
      <c r="B93" s="112">
        <v>5058</v>
      </c>
      <c r="C93" s="113">
        <v>958.53281929616446</v>
      </c>
      <c r="D93" s="9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5" thickBot="1" x14ac:dyDescent="0.3">
      <c r="A94" s="111" t="s">
        <v>1158</v>
      </c>
      <c r="B94" s="112">
        <v>2138</v>
      </c>
      <c r="C94" s="113">
        <v>482.63002806361084</v>
      </c>
      <c r="D94" s="9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5" thickBot="1" x14ac:dyDescent="0.3">
      <c r="A95" s="117" t="s">
        <v>1160</v>
      </c>
      <c r="B95" s="118">
        <v>60</v>
      </c>
      <c r="C95" s="119">
        <v>701.51666666666665</v>
      </c>
      <c r="D95" s="9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5" thickBot="1" x14ac:dyDescent="0.3">
      <c r="A96" s="121" t="s">
        <v>1195</v>
      </c>
      <c r="B96" s="114">
        <v>1838</v>
      </c>
      <c r="C96" s="115">
        <v>534.12295973884659</v>
      </c>
      <c r="D96" s="9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5" thickBot="1" x14ac:dyDescent="0.3">
      <c r="A97" s="111" t="s">
        <v>1156</v>
      </c>
      <c r="B97" s="112">
        <v>332</v>
      </c>
      <c r="C97" s="113">
        <v>848.77108433734941</v>
      </c>
      <c r="D97" s="9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5" thickBot="1" x14ac:dyDescent="0.3">
      <c r="A98" s="111" t="s">
        <v>1158</v>
      </c>
      <c r="B98" s="112">
        <v>1468</v>
      </c>
      <c r="C98" s="113">
        <v>460.25068119891006</v>
      </c>
      <c r="D98" s="9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5" thickBot="1" x14ac:dyDescent="0.3">
      <c r="A99" s="111" t="s">
        <v>1160</v>
      </c>
      <c r="B99" s="112">
        <v>38</v>
      </c>
      <c r="C99" s="113">
        <v>638.89473684210532</v>
      </c>
      <c r="D99" s="9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5" thickBot="1" x14ac:dyDescent="0.3">
      <c r="A100" s="121" t="s">
        <v>1196</v>
      </c>
      <c r="B100" s="114">
        <v>6975</v>
      </c>
      <c r="C100" s="115">
        <v>982.53663082437276</v>
      </c>
      <c r="D100" s="9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5" thickBot="1" x14ac:dyDescent="0.3">
      <c r="A101" s="111" t="s">
        <v>1156</v>
      </c>
      <c r="B101" s="112">
        <v>6034</v>
      </c>
      <c r="C101" s="113">
        <v>1041.592475969506</v>
      </c>
      <c r="D101" s="9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5" thickBot="1" x14ac:dyDescent="0.3">
      <c r="A102" s="111" t="s">
        <v>1158</v>
      </c>
      <c r="B102" s="112">
        <v>912</v>
      </c>
      <c r="C102" s="113">
        <v>601.73355263157896</v>
      </c>
      <c r="D102" s="9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5" thickBot="1" x14ac:dyDescent="0.3">
      <c r="A103" s="111" t="s">
        <v>1160</v>
      </c>
      <c r="B103" s="112">
        <v>29</v>
      </c>
      <c r="C103" s="113">
        <v>670.44827586206895</v>
      </c>
      <c r="D103" s="9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5" thickBot="1" x14ac:dyDescent="0.3">
      <c r="A104" s="121" t="s">
        <v>1197</v>
      </c>
      <c r="B104" s="114">
        <v>2743</v>
      </c>
      <c r="C104" s="115">
        <v>484.85198687568356</v>
      </c>
      <c r="D104" s="9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5" thickBot="1" x14ac:dyDescent="0.3">
      <c r="A105" s="111" t="s">
        <v>1156</v>
      </c>
      <c r="B105" s="112">
        <v>1052</v>
      </c>
      <c r="C105" s="113">
        <v>683.28612167300378</v>
      </c>
      <c r="D105" s="9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5" thickBot="1" x14ac:dyDescent="0.3">
      <c r="A106" s="111" t="s">
        <v>1158</v>
      </c>
      <c r="B106" s="112">
        <v>1557</v>
      </c>
      <c r="C106" s="113">
        <v>348.57353885677583</v>
      </c>
      <c r="D106" s="9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5" thickBot="1" x14ac:dyDescent="0.3">
      <c r="A107" s="111" t="s">
        <v>1160</v>
      </c>
      <c r="B107" s="112">
        <v>134</v>
      </c>
      <c r="C107" s="113">
        <v>510.47014925373134</v>
      </c>
      <c r="D107" s="9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5" thickBot="1" x14ac:dyDescent="0.3">
      <c r="A108" s="121" t="s">
        <v>1198</v>
      </c>
      <c r="B108" s="114">
        <v>2569</v>
      </c>
      <c r="C108" s="115">
        <v>507.72323861424678</v>
      </c>
      <c r="D108" s="9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5" thickBot="1" x14ac:dyDescent="0.3">
      <c r="A109" s="111" t="s">
        <v>1156</v>
      </c>
      <c r="B109" s="112">
        <v>1054</v>
      </c>
      <c r="C109" s="113">
        <v>817.81688804554085</v>
      </c>
      <c r="D109" s="9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5" thickBot="1" x14ac:dyDescent="0.3">
      <c r="A110" s="111" t="s">
        <v>1158</v>
      </c>
      <c r="B110" s="112">
        <v>1227</v>
      </c>
      <c r="C110" s="113">
        <v>290.64710676446617</v>
      </c>
      <c r="D110" s="9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5" thickBot="1" x14ac:dyDescent="0.3">
      <c r="A111" s="111" t="s">
        <v>1160</v>
      </c>
      <c r="B111" s="112">
        <v>288</v>
      </c>
      <c r="C111" s="113">
        <v>297.70138888888891</v>
      </c>
      <c r="D111" s="9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5" thickBot="1" x14ac:dyDescent="0.3">
      <c r="A112" s="121" t="s">
        <v>1199</v>
      </c>
      <c r="B112" s="114">
        <v>20804</v>
      </c>
      <c r="C112" s="115">
        <v>855.42458181119014</v>
      </c>
      <c r="D112" s="9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5" thickBot="1" x14ac:dyDescent="0.3">
      <c r="A113" s="111" t="s">
        <v>1156</v>
      </c>
      <c r="B113" s="112">
        <v>16765</v>
      </c>
      <c r="C113" s="113">
        <v>918.38902475395173</v>
      </c>
      <c r="D113" s="9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5" thickBot="1" x14ac:dyDescent="0.3">
      <c r="A114" s="111" t="s">
        <v>1158</v>
      </c>
      <c r="B114" s="112">
        <v>3624</v>
      </c>
      <c r="C114" s="113">
        <v>578.41059602649011</v>
      </c>
      <c r="D114" s="9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5" thickBot="1" x14ac:dyDescent="0.3">
      <c r="A115" s="117" t="s">
        <v>1160</v>
      </c>
      <c r="B115" s="118">
        <v>415</v>
      </c>
      <c r="C115" s="119">
        <v>730.84578313253007</v>
      </c>
      <c r="D115" s="9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5" thickBot="1" x14ac:dyDescent="0.3">
      <c r="A116" s="121" t="s">
        <v>1200</v>
      </c>
      <c r="B116" s="114">
        <v>10014</v>
      </c>
      <c r="C116" s="115">
        <v>928.35290593169566</v>
      </c>
      <c r="D116" s="9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5" thickBot="1" x14ac:dyDescent="0.3">
      <c r="A117" s="111" t="s">
        <v>1156</v>
      </c>
      <c r="B117" s="112">
        <v>8645</v>
      </c>
      <c r="C117" s="113">
        <v>959.93140543666857</v>
      </c>
      <c r="D117" s="9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5" thickBot="1" x14ac:dyDescent="0.3">
      <c r="A118" s="111" t="s">
        <v>1158</v>
      </c>
      <c r="B118" s="112">
        <v>1196</v>
      </c>
      <c r="C118" s="113">
        <v>696.41220735785953</v>
      </c>
      <c r="D118" s="9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5" thickBot="1" x14ac:dyDescent="0.3">
      <c r="A119" s="117" t="s">
        <v>1160</v>
      </c>
      <c r="B119" s="118">
        <v>173</v>
      </c>
      <c r="C119" s="119">
        <v>953.81502890173408</v>
      </c>
      <c r="D119" s="9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5" thickBot="1" x14ac:dyDescent="0.3">
      <c r="A120" s="121" t="s">
        <v>1201</v>
      </c>
      <c r="B120" s="114">
        <v>3253</v>
      </c>
      <c r="C120" s="115">
        <v>1211.2763602828159</v>
      </c>
      <c r="D120" s="9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5" thickBot="1" x14ac:dyDescent="0.3">
      <c r="A121" s="111" t="s">
        <v>1156</v>
      </c>
      <c r="B121" s="112">
        <v>2243</v>
      </c>
      <c r="C121" s="113">
        <v>1380.5818100757913</v>
      </c>
      <c r="D121" s="9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6.5" thickBot="1" x14ac:dyDescent="0.3">
      <c r="A122" s="111" t="s">
        <v>1158</v>
      </c>
      <c r="B122" s="112">
        <v>996</v>
      </c>
      <c r="C122" s="113">
        <v>839.97791164658634</v>
      </c>
      <c r="D122" s="9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spans="1:45" ht="16.5" thickBot="1" x14ac:dyDescent="0.3">
      <c r="A123" s="111" t="s">
        <v>1160</v>
      </c>
      <c r="B123" s="112">
        <v>14</v>
      </c>
      <c r="C123" s="113">
        <v>501.35714285714283</v>
      </c>
      <c r="D123" s="93"/>
    </row>
    <row r="124" spans="1:45" ht="16.5" thickBot="1" x14ac:dyDescent="0.3">
      <c r="A124" s="121" t="s">
        <v>1202</v>
      </c>
      <c r="B124" s="114">
        <v>13290</v>
      </c>
      <c r="C124" s="115">
        <v>425.0153498871332</v>
      </c>
      <c r="D124" s="93"/>
    </row>
    <row r="125" spans="1:45" ht="16.5" thickBot="1" x14ac:dyDescent="0.3">
      <c r="A125" s="111" t="s">
        <v>1156</v>
      </c>
      <c r="B125" s="122">
        <v>4257</v>
      </c>
      <c r="C125" s="123">
        <v>717.6955602536998</v>
      </c>
      <c r="D125" s="93"/>
    </row>
    <row r="126" spans="1:45" ht="16.5" thickBot="1" x14ac:dyDescent="0.3">
      <c r="A126" s="111" t="s">
        <v>1162</v>
      </c>
      <c r="B126" s="122">
        <v>3</v>
      </c>
      <c r="C126" s="123">
        <v>808</v>
      </c>
      <c r="D126" s="93"/>
    </row>
    <row r="127" spans="1:45" ht="16.5" thickBot="1" x14ac:dyDescent="0.3">
      <c r="A127" s="111" t="s">
        <v>1158</v>
      </c>
      <c r="B127" s="122">
        <v>8822</v>
      </c>
      <c r="C127" s="123">
        <v>284.67252323736113</v>
      </c>
      <c r="D127" s="93"/>
    </row>
    <row r="128" spans="1:45" ht="16.5" thickBot="1" x14ac:dyDescent="0.3">
      <c r="A128" s="111" t="s">
        <v>1160</v>
      </c>
      <c r="B128" s="122">
        <v>208</v>
      </c>
      <c r="C128" s="123">
        <v>381.82211538461536</v>
      </c>
      <c r="D128" s="93"/>
    </row>
    <row r="129" spans="4:4" ht="15.75" x14ac:dyDescent="0.25">
      <c r="D129" s="93"/>
    </row>
    <row r="130" spans="4:4" ht="15.75" x14ac:dyDescent="0.25">
      <c r="D130" s="93"/>
    </row>
    <row r="131" spans="4:4" ht="15.75" x14ac:dyDescent="0.25">
      <c r="D131" s="93"/>
    </row>
    <row r="132" spans="4:4" ht="15.75" x14ac:dyDescent="0.25">
      <c r="D132" s="93"/>
    </row>
    <row r="133" spans="4:4" ht="15.75" x14ac:dyDescent="0.25">
      <c r="D133" s="93"/>
    </row>
    <row r="134" spans="4:4" ht="15.75" x14ac:dyDescent="0.25">
      <c r="D134" s="93"/>
    </row>
    <row r="135" spans="4:4" ht="15.75" x14ac:dyDescent="0.25">
      <c r="D135" s="93"/>
    </row>
    <row r="136" spans="4:4" ht="15.75" x14ac:dyDescent="0.25">
      <c r="D136" s="93"/>
    </row>
    <row r="137" spans="4:4" ht="15.75" x14ac:dyDescent="0.25">
      <c r="D137" s="93"/>
    </row>
    <row r="138" spans="4:4" ht="15.75" x14ac:dyDescent="0.25">
      <c r="D138" s="93"/>
    </row>
    <row r="139" spans="4:4" ht="15.75" x14ac:dyDescent="0.25">
      <c r="D139" s="93"/>
    </row>
    <row r="140" spans="4:4" ht="15.75" x14ac:dyDescent="0.25">
      <c r="D140" s="93"/>
    </row>
    <row r="141" spans="4:4" ht="15.75" x14ac:dyDescent="0.25">
      <c r="D141" s="93"/>
    </row>
    <row r="142" spans="4:4" ht="15.75" x14ac:dyDescent="0.25">
      <c r="D142" s="93"/>
    </row>
    <row r="143" spans="4:4" ht="15.75" x14ac:dyDescent="0.25">
      <c r="D143" s="93"/>
    </row>
    <row r="144" spans="4:4" ht="15.75" x14ac:dyDescent="0.25">
      <c r="D144" s="93"/>
    </row>
    <row r="145" spans="4:4" ht="15.75" x14ac:dyDescent="0.25">
      <c r="D145" s="93"/>
    </row>
    <row r="146" spans="4:4" ht="15.75" x14ac:dyDescent="0.25">
      <c r="D146" s="93"/>
    </row>
    <row r="147" spans="4:4" ht="15.75" x14ac:dyDescent="0.25">
      <c r="D147" s="93"/>
    </row>
    <row r="148" spans="4:4" ht="15.75" x14ac:dyDescent="0.25">
      <c r="D148" s="93"/>
    </row>
    <row r="149" spans="4:4" ht="15.75" x14ac:dyDescent="0.25">
      <c r="D149" s="93"/>
    </row>
    <row r="150" spans="4:4" ht="15.75" x14ac:dyDescent="0.25">
      <c r="D150" s="93"/>
    </row>
    <row r="151" spans="4:4" ht="15.75" x14ac:dyDescent="0.25">
      <c r="D151" s="93"/>
    </row>
    <row r="152" spans="4:4" ht="15.75" x14ac:dyDescent="0.25">
      <c r="D152" s="93"/>
    </row>
    <row r="153" spans="4:4" ht="15.75" x14ac:dyDescent="0.25">
      <c r="D153" s="124"/>
    </row>
    <row r="154" spans="4:4" ht="15.75" x14ac:dyDescent="0.25">
      <c r="D154" s="124"/>
    </row>
    <row r="155" spans="4:4" ht="15.75" x14ac:dyDescent="0.25">
      <c r="D155" s="124"/>
    </row>
    <row r="156" spans="4:4" ht="15.75" x14ac:dyDescent="0.25">
      <c r="D156" s="124"/>
    </row>
    <row r="157" spans="4:4" ht="15.75" x14ac:dyDescent="0.25">
      <c r="D157" s="93"/>
    </row>
    <row r="158" spans="4:4" ht="15.75" x14ac:dyDescent="0.25">
      <c r="D158" s="93"/>
    </row>
    <row r="159" spans="4:4" ht="15.75" x14ac:dyDescent="0.25">
      <c r="D159" s="93"/>
    </row>
    <row r="160" spans="4:4" ht="15.75" x14ac:dyDescent="0.25">
      <c r="D160" s="93"/>
    </row>
    <row r="161" spans="4:8" ht="15.75" x14ac:dyDescent="0.25">
      <c r="D161" s="93"/>
    </row>
    <row r="162" spans="4:8" ht="15.75" x14ac:dyDescent="0.25">
      <c r="D162" s="93"/>
    </row>
    <row r="163" spans="4:8" ht="15.75" x14ac:dyDescent="0.25">
      <c r="D163" s="93"/>
    </row>
    <row r="164" spans="4:8" ht="15.75" x14ac:dyDescent="0.25">
      <c r="D164" s="93"/>
    </row>
    <row r="165" spans="4:8" ht="15.75" x14ac:dyDescent="0.25">
      <c r="D165" s="93"/>
    </row>
    <row r="166" spans="4:8" ht="15.75" x14ac:dyDescent="0.25">
      <c r="D166" s="93"/>
      <c r="H166" s="93"/>
    </row>
    <row r="167" spans="4:8" ht="15.75" x14ac:dyDescent="0.25">
      <c r="D167" s="93"/>
      <c r="H167" s="93"/>
    </row>
    <row r="168" spans="4:8" ht="15.75" x14ac:dyDescent="0.25">
      <c r="D168" s="93"/>
      <c r="H168" s="93"/>
    </row>
  </sheetData>
  <mergeCells count="18">
    <mergeCell ref="A24:C24"/>
    <mergeCell ref="A26:C26"/>
    <mergeCell ref="E26:G26"/>
    <mergeCell ref="E27:G27"/>
    <mergeCell ref="A28:C28"/>
    <mergeCell ref="A23:C23"/>
    <mergeCell ref="A1:G1"/>
    <mergeCell ref="A2:G3"/>
    <mergeCell ref="A4:G4"/>
    <mergeCell ref="A7:C7"/>
    <mergeCell ref="E7:G7"/>
    <mergeCell ref="A15:C15"/>
    <mergeCell ref="E15:G15"/>
    <mergeCell ref="A16:C16"/>
    <mergeCell ref="E16:G16"/>
    <mergeCell ref="E17:G17"/>
    <mergeCell ref="A18:C18"/>
    <mergeCell ref="E21:G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F8F2-6FF0-48A5-B63D-F36F638B26E8}">
  <dimension ref="A1:AX192"/>
  <sheetViews>
    <sheetView showGridLines="0" topLeftCell="A21" zoomScaleNormal="100" zoomScaleSheetLayoutView="70" zoomScalePageLayoutView="90" workbookViewId="0">
      <selection activeCell="C38" sqref="C38:L38"/>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75" customFormat="1" ht="27.75" customHeight="1" x14ac:dyDescent="0.2">
      <c r="A1" s="173" t="s">
        <v>1021</v>
      </c>
      <c r="B1" s="174"/>
      <c r="C1" s="174"/>
      <c r="D1" s="174"/>
    </row>
    <row r="2" spans="1:50" s="179" customFormat="1" ht="45.75" customHeight="1" x14ac:dyDescent="0.2">
      <c r="A2" s="176" t="s">
        <v>1</v>
      </c>
      <c r="B2" s="177"/>
      <c r="C2" s="177"/>
      <c r="D2" s="177"/>
      <c r="E2" s="176"/>
      <c r="F2" s="177"/>
      <c r="G2" s="177"/>
      <c r="H2" s="177"/>
      <c r="I2" s="176"/>
      <c r="J2" s="177"/>
      <c r="K2" s="177"/>
      <c r="L2" s="177"/>
      <c r="M2" s="176"/>
      <c r="N2" s="177"/>
      <c r="O2" s="177"/>
      <c r="P2" s="177"/>
      <c r="Q2" s="178"/>
      <c r="R2" s="178"/>
      <c r="S2" s="178"/>
      <c r="T2" s="178"/>
      <c r="U2" s="178"/>
      <c r="V2" s="178"/>
    </row>
    <row r="3" spans="1:50" ht="31.5" customHeight="1" x14ac:dyDescent="0.25">
      <c r="A3" s="180" t="s">
        <v>1203</v>
      </c>
      <c r="B3" s="181"/>
      <c r="C3" s="181"/>
      <c r="D3" s="181"/>
      <c r="E3" s="182"/>
      <c r="F3" s="182"/>
      <c r="G3" s="182"/>
      <c r="H3" s="182"/>
      <c r="I3" s="182"/>
      <c r="J3" s="182"/>
      <c r="K3" s="182"/>
      <c r="L3" s="182"/>
      <c r="M3" s="182"/>
      <c r="N3" s="182"/>
      <c r="O3" s="182"/>
      <c r="P3" s="182"/>
      <c r="Q3" s="182"/>
      <c r="R3" s="182"/>
      <c r="S3" s="182"/>
      <c r="T3" s="182"/>
      <c r="U3" s="182"/>
      <c r="V3" s="182"/>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75" customFormat="1" ht="30.75" customHeight="1" x14ac:dyDescent="0.2">
      <c r="A4" s="183"/>
      <c r="B4" s="174"/>
      <c r="C4" s="174"/>
      <c r="D4" s="174"/>
      <c r="E4" s="174"/>
      <c r="F4" s="174"/>
      <c r="G4" s="174"/>
      <c r="H4" s="174"/>
      <c r="I4" s="174"/>
      <c r="J4" s="174"/>
      <c r="K4" s="174"/>
      <c r="L4" s="174"/>
      <c r="M4" s="174"/>
      <c r="N4" s="174"/>
      <c r="O4" s="174"/>
      <c r="P4" s="174"/>
      <c r="Q4" s="174"/>
      <c r="R4" s="174"/>
      <c r="S4" s="174"/>
      <c r="T4" s="174"/>
      <c r="U4" s="174"/>
      <c r="V4" s="174"/>
      <c r="W4" s="184"/>
      <c r="X4" s="184"/>
      <c r="Y4" s="184"/>
      <c r="Z4" s="184"/>
    </row>
    <row r="5" spans="1:50" s="179" customFormat="1" ht="18.95" customHeight="1" thickBot="1" x14ac:dyDescent="0.25">
      <c r="A5" s="185"/>
      <c r="B5" s="185"/>
      <c r="C5" s="185"/>
      <c r="D5" s="185"/>
      <c r="E5" s="185"/>
      <c r="F5" s="185"/>
      <c r="G5" s="185"/>
      <c r="H5" s="185"/>
      <c r="I5" s="185"/>
      <c r="J5" s="185"/>
      <c r="K5" s="185"/>
      <c r="L5" s="185"/>
      <c r="M5" s="185"/>
      <c r="N5" s="185"/>
      <c r="O5" s="185"/>
      <c r="P5" s="185"/>
      <c r="Q5" s="185"/>
      <c r="R5" s="185"/>
      <c r="S5" s="185"/>
      <c r="T5" s="185"/>
      <c r="U5" s="185"/>
      <c r="V5" s="185"/>
      <c r="W5" s="186"/>
      <c r="X5" s="186"/>
      <c r="Y5" s="186"/>
      <c r="Z5" s="186"/>
    </row>
    <row r="6" spans="1:50" s="179" customFormat="1" ht="16.5" customHeight="1" x14ac:dyDescent="0.25">
      <c r="A6" s="187"/>
      <c r="B6" s="188"/>
      <c r="C6" s="188"/>
      <c r="D6" s="188"/>
      <c r="E6" s="188"/>
      <c r="F6" s="188"/>
      <c r="G6" s="188"/>
      <c r="H6" s="188"/>
      <c r="I6" s="188"/>
      <c r="J6" s="188"/>
      <c r="K6" s="188"/>
      <c r="L6" s="188"/>
      <c r="M6" s="188"/>
      <c r="N6" s="188"/>
      <c r="O6" s="188"/>
      <c r="P6" s="188"/>
      <c r="Q6" s="188"/>
      <c r="R6" s="188"/>
      <c r="S6" s="188"/>
      <c r="T6" s="188"/>
      <c r="U6" s="188"/>
      <c r="V6" s="189"/>
      <c r="W6" s="186"/>
      <c r="X6" s="186"/>
      <c r="Y6" s="186"/>
      <c r="Z6" s="186"/>
    </row>
    <row r="7" spans="1:50" s="175" customFormat="1" ht="16.5" customHeight="1" x14ac:dyDescent="0.2">
      <c r="A7" s="190"/>
      <c r="B7" s="191"/>
      <c r="C7" s="191"/>
      <c r="D7" s="191"/>
      <c r="E7" s="191"/>
      <c r="F7" s="191"/>
      <c r="G7" s="191"/>
      <c r="H7" s="191"/>
      <c r="J7" s="192"/>
      <c r="K7" s="192"/>
      <c r="L7" s="192"/>
      <c r="N7" s="191"/>
      <c r="O7" s="191"/>
      <c r="P7" s="191"/>
      <c r="Q7" s="191"/>
      <c r="R7" s="191"/>
      <c r="S7" s="191"/>
      <c r="T7" s="191"/>
      <c r="U7" s="191"/>
      <c r="V7" s="193"/>
      <c r="W7" s="194"/>
      <c r="X7" s="194"/>
      <c r="Y7" s="194"/>
      <c r="Z7" s="194"/>
    </row>
    <row r="8" spans="1:50" s="200" customFormat="1" ht="30.6" customHeight="1" x14ac:dyDescent="0.2">
      <c r="A8" s="195" t="s">
        <v>1204</v>
      </c>
      <c r="B8" s="196"/>
      <c r="C8" s="196"/>
      <c r="D8" s="196"/>
      <c r="E8" s="197"/>
      <c r="F8" s="197"/>
      <c r="G8" s="198" t="s">
        <v>1205</v>
      </c>
      <c r="H8" s="196"/>
      <c r="I8" s="196"/>
      <c r="J8" s="196"/>
      <c r="K8" s="196"/>
      <c r="L8" s="199"/>
      <c r="N8" s="198" t="s">
        <v>1206</v>
      </c>
      <c r="O8" s="196"/>
      <c r="P8" s="196"/>
      <c r="Q8" s="196"/>
      <c r="R8" s="196"/>
      <c r="U8" s="201"/>
      <c r="V8" s="201"/>
      <c r="W8" s="202"/>
      <c r="X8" s="203"/>
      <c r="Y8" s="203"/>
      <c r="Z8" s="203"/>
      <c r="AA8" s="203"/>
      <c r="AC8" s="204"/>
      <c r="AD8" s="204"/>
    </row>
    <row r="9" spans="1:50" s="175" customFormat="1" ht="28.35" customHeight="1" x14ac:dyDescent="0.25">
      <c r="A9" s="205" t="s">
        <v>1207</v>
      </c>
      <c r="B9" s="206" t="s">
        <v>1208</v>
      </c>
      <c r="C9" s="206" t="s">
        <v>1209</v>
      </c>
      <c r="D9" s="206" t="s">
        <v>1161</v>
      </c>
      <c r="E9" s="191"/>
      <c r="F9" s="191"/>
      <c r="G9" s="207" t="s">
        <v>1210</v>
      </c>
      <c r="H9" s="208"/>
      <c r="I9" s="209" t="s">
        <v>1208</v>
      </c>
      <c r="J9" s="209" t="s">
        <v>1209</v>
      </c>
      <c r="K9" s="209" t="s">
        <v>1161</v>
      </c>
      <c r="L9" s="210"/>
      <c r="M9" s="210"/>
      <c r="N9" s="207" t="s">
        <v>1211</v>
      </c>
      <c r="O9" s="208"/>
      <c r="P9" s="211" t="s">
        <v>1212</v>
      </c>
      <c r="Q9" s="191"/>
      <c r="R9" s="191"/>
      <c r="S9" s="191"/>
      <c r="T9" s="191"/>
      <c r="U9" s="191"/>
      <c r="V9" s="194"/>
      <c r="W9" s="202"/>
      <c r="X9" s="194"/>
      <c r="Y9" s="194"/>
      <c r="Z9" s="194"/>
      <c r="AA9" s="194"/>
      <c r="AB9" s="194"/>
      <c r="AC9" s="212"/>
      <c r="AD9" s="212"/>
    </row>
    <row r="10" spans="1:50" s="175" customFormat="1" ht="16.5" customHeight="1" thickBot="1" x14ac:dyDescent="0.3">
      <c r="A10" s="213" t="s">
        <v>1161</v>
      </c>
      <c r="B10" s="214">
        <f>SUM(B11:B14)</f>
        <v>209</v>
      </c>
      <c r="C10" s="214">
        <f>SUM(C11:C14)</f>
        <v>65556</v>
      </c>
      <c r="D10" s="214">
        <f>SUM(D11:D14)</f>
        <v>65765</v>
      </c>
      <c r="E10" s="191"/>
      <c r="F10" s="191"/>
      <c r="G10" s="215" t="s">
        <v>1213</v>
      </c>
      <c r="H10" s="208"/>
      <c r="I10" s="216">
        <v>34</v>
      </c>
      <c r="J10" s="216">
        <v>106.7489104927925</v>
      </c>
      <c r="K10" s="216">
        <v>106.7123471268219</v>
      </c>
      <c r="L10" s="217"/>
      <c r="M10" s="217"/>
      <c r="N10" s="218" t="s">
        <v>1161</v>
      </c>
      <c r="O10" s="219"/>
      <c r="P10" s="220">
        <f>SUM(P11:P12)</f>
        <v>1393</v>
      </c>
      <c r="Q10" s="191"/>
      <c r="R10" s="191"/>
      <c r="S10" s="191"/>
      <c r="T10" s="191"/>
      <c r="U10" s="191"/>
      <c r="V10" s="221"/>
      <c r="W10" s="202"/>
      <c r="X10" s="194"/>
      <c r="Y10" s="194"/>
      <c r="Z10" s="194"/>
      <c r="AA10" s="194"/>
      <c r="AB10" s="194"/>
      <c r="AC10" s="212"/>
      <c r="AD10" s="212"/>
    </row>
    <row r="11" spans="1:50" s="175" customFormat="1" ht="13.35" customHeight="1" thickTop="1" x14ac:dyDescent="0.25">
      <c r="A11" s="222" t="s">
        <v>1214</v>
      </c>
      <c r="B11" s="223">
        <v>33</v>
      </c>
      <c r="C11" s="223">
        <v>4773</v>
      </c>
      <c r="D11" s="224">
        <f>SUM(B11:C11)</f>
        <v>4806</v>
      </c>
      <c r="E11" s="191"/>
      <c r="F11" s="174"/>
      <c r="G11" s="174"/>
      <c r="H11" s="225"/>
      <c r="I11" s="225"/>
      <c r="J11" s="225"/>
      <c r="K11" s="225"/>
      <c r="L11" s="225"/>
      <c r="N11" s="226" t="s">
        <v>1208</v>
      </c>
      <c r="O11" s="227"/>
      <c r="P11" s="228">
        <v>22</v>
      </c>
      <c r="Q11" s="191"/>
      <c r="R11" s="191"/>
      <c r="S11" s="221"/>
      <c r="T11" s="221"/>
      <c r="U11" s="221"/>
      <c r="V11" s="194"/>
      <c r="W11" s="202"/>
      <c r="X11" s="194"/>
      <c r="Y11" s="194"/>
      <c r="Z11" s="212"/>
      <c r="AA11" s="212"/>
    </row>
    <row r="12" spans="1:50" s="175" customFormat="1" ht="13.35" customHeight="1" x14ac:dyDescent="0.25">
      <c r="A12" s="229" t="s">
        <v>1215</v>
      </c>
      <c r="B12" s="223">
        <v>156</v>
      </c>
      <c r="C12" s="223">
        <v>45881</v>
      </c>
      <c r="D12" s="224">
        <f>SUM(B12:C12)</f>
        <v>46037</v>
      </c>
      <c r="E12" s="191"/>
      <c r="M12" s="230"/>
      <c r="N12" s="231" t="s">
        <v>1209</v>
      </c>
      <c r="O12" s="208"/>
      <c r="P12" s="232">
        <v>1371</v>
      </c>
      <c r="Q12" s="191"/>
      <c r="R12" s="191"/>
      <c r="S12" s="191"/>
      <c r="T12" s="191"/>
      <c r="U12" s="221"/>
      <c r="V12" s="202"/>
      <c r="W12" s="233"/>
      <c r="X12" s="194"/>
      <c r="Y12" s="194"/>
      <c r="Z12" s="194"/>
      <c r="AA12" s="194"/>
      <c r="AB12" s="212"/>
      <c r="AC12" s="212"/>
    </row>
    <row r="13" spans="1:50" s="175" customFormat="1" ht="13.35" customHeight="1" x14ac:dyDescent="0.2">
      <c r="A13" s="229" t="s">
        <v>1216</v>
      </c>
      <c r="B13" s="223">
        <v>3</v>
      </c>
      <c r="C13" s="223">
        <v>4840</v>
      </c>
      <c r="D13" s="224">
        <f>SUM(B13:C13)</f>
        <v>4843</v>
      </c>
      <c r="E13" s="191"/>
      <c r="F13" s="191"/>
      <c r="G13" s="191"/>
      <c r="H13" s="191"/>
      <c r="I13" s="191"/>
      <c r="J13" s="191"/>
      <c r="Q13" s="191"/>
      <c r="R13" s="191"/>
      <c r="S13" s="191"/>
      <c r="T13" s="221"/>
      <c r="U13" s="191"/>
      <c r="V13" s="202"/>
      <c r="W13" s="234"/>
      <c r="X13" s="194"/>
      <c r="Y13" s="194"/>
      <c r="Z13" s="194"/>
      <c r="AA13" s="212"/>
      <c r="AB13" s="212"/>
    </row>
    <row r="14" spans="1:50" s="175" customFormat="1" ht="13.35" customHeight="1" x14ac:dyDescent="0.2">
      <c r="A14" s="229" t="s">
        <v>1217</v>
      </c>
      <c r="B14" s="223">
        <v>17</v>
      </c>
      <c r="C14" s="223">
        <v>10062</v>
      </c>
      <c r="D14" s="224">
        <f>SUM(B14:C14)</f>
        <v>10079</v>
      </c>
      <c r="E14" s="191"/>
      <c r="F14" s="191"/>
      <c r="G14" s="191"/>
      <c r="H14" s="191"/>
      <c r="I14" s="191"/>
      <c r="J14" s="191"/>
      <c r="K14" s="191"/>
      <c r="L14" s="191"/>
      <c r="M14" s="191"/>
      <c r="N14" s="191"/>
      <c r="O14" s="191"/>
      <c r="P14" s="191"/>
      <c r="Q14" s="191"/>
      <c r="R14" s="191"/>
      <c r="S14" s="191"/>
      <c r="T14" s="221"/>
      <c r="U14" s="191"/>
      <c r="V14" s="202"/>
      <c r="W14" s="234"/>
      <c r="X14" s="194"/>
      <c r="Y14" s="194"/>
      <c r="Z14" s="194"/>
      <c r="AA14" s="212"/>
      <c r="AB14" s="212"/>
    </row>
    <row r="15" spans="1:50" s="175" customFormat="1" ht="16.5" customHeight="1" x14ac:dyDescent="0.2">
      <c r="A15" s="235"/>
      <c r="B15" s="236"/>
      <c r="C15" s="236"/>
      <c r="D15" s="236"/>
      <c r="E15" s="236"/>
      <c r="F15" s="236"/>
      <c r="G15" s="191"/>
      <c r="H15" s="191"/>
      <c r="I15" s="191"/>
      <c r="J15" s="191"/>
      <c r="K15" s="191"/>
      <c r="L15" s="191"/>
      <c r="M15" s="191"/>
      <c r="N15" s="191"/>
      <c r="O15" s="191"/>
      <c r="P15" s="191"/>
      <c r="Q15" s="191"/>
      <c r="R15" s="191"/>
      <c r="S15" s="191"/>
      <c r="T15" s="191"/>
      <c r="U15" s="191"/>
      <c r="V15" s="202"/>
      <c r="W15" s="234"/>
      <c r="X15" s="194"/>
      <c r="Y15" s="194"/>
      <c r="Z15" s="194"/>
      <c r="AA15" s="194"/>
      <c r="AB15" s="212"/>
      <c r="AC15" s="212"/>
      <c r="AK15" s="212"/>
      <c r="AL15" s="212"/>
    </row>
    <row r="16" spans="1:50" s="175" customFormat="1" ht="16.5" customHeight="1" x14ac:dyDescent="0.25">
      <c r="A16" s="237"/>
      <c r="B16" s="238"/>
      <c r="C16" s="238"/>
      <c r="D16" s="238"/>
      <c r="E16" s="238"/>
      <c r="F16" s="238"/>
      <c r="G16" s="238"/>
      <c r="H16" s="238"/>
      <c r="I16" s="238"/>
      <c r="J16" s="238"/>
      <c r="K16" s="238"/>
      <c r="L16" s="238"/>
      <c r="M16" s="238"/>
      <c r="N16" s="238"/>
      <c r="O16" s="238"/>
      <c r="P16" s="238"/>
      <c r="Q16" s="238"/>
      <c r="R16" s="238"/>
      <c r="S16" s="238"/>
      <c r="T16" s="238"/>
      <c r="U16" s="238"/>
      <c r="V16" s="208"/>
      <c r="W16" s="234"/>
      <c r="X16" s="212"/>
      <c r="Y16" s="194"/>
      <c r="Z16" s="194"/>
      <c r="AK16" s="212"/>
    </row>
    <row r="17" spans="1:38" s="175" customFormat="1" ht="16.5" customHeight="1" x14ac:dyDescent="0.2">
      <c r="A17" s="190"/>
      <c r="B17" s="191"/>
      <c r="C17" s="191"/>
      <c r="D17" s="191"/>
      <c r="E17" s="191"/>
      <c r="F17" s="191"/>
      <c r="G17" s="191"/>
      <c r="H17" s="191"/>
      <c r="I17" s="191"/>
      <c r="J17" s="191"/>
      <c r="K17" s="191"/>
      <c r="L17" s="191"/>
      <c r="M17" s="191"/>
      <c r="N17" s="191"/>
      <c r="O17" s="191"/>
      <c r="P17" s="191"/>
      <c r="Q17" s="191"/>
      <c r="R17" s="191"/>
      <c r="S17" s="191"/>
      <c r="T17" s="191"/>
      <c r="U17" s="191"/>
      <c r="V17" s="193"/>
      <c r="W17" s="194"/>
      <c r="X17" s="194"/>
      <c r="Y17" s="194"/>
      <c r="Z17" s="194"/>
      <c r="AF17" s="212"/>
      <c r="AK17" s="212"/>
    </row>
    <row r="18" spans="1:38" s="240" customFormat="1" ht="27.6" customHeight="1" x14ac:dyDescent="0.25">
      <c r="A18" s="195" t="s">
        <v>1218</v>
      </c>
      <c r="B18" s="239"/>
      <c r="C18" s="239"/>
      <c r="D18" s="239"/>
      <c r="E18" s="239"/>
      <c r="F18" s="239"/>
      <c r="I18" s="241" t="s">
        <v>1219</v>
      </c>
      <c r="J18" s="242"/>
      <c r="K18" s="242"/>
      <c r="L18" s="242"/>
      <c r="M18" s="242"/>
      <c r="N18" s="242"/>
      <c r="O18" s="242"/>
      <c r="P18" s="242"/>
      <c r="Q18" s="242"/>
      <c r="R18" s="242"/>
      <c r="S18" s="242"/>
      <c r="T18" s="242"/>
      <c r="U18" s="242"/>
      <c r="V18" s="243"/>
      <c r="W18" s="244"/>
      <c r="X18" s="244"/>
      <c r="Y18" s="244"/>
      <c r="AE18" s="175"/>
      <c r="AF18" s="212"/>
      <c r="AG18" s="175"/>
      <c r="AH18" s="175"/>
      <c r="AI18" s="175"/>
      <c r="AJ18" s="175"/>
      <c r="AK18" s="175"/>
      <c r="AL18" s="212"/>
    </row>
    <row r="19" spans="1:38" s="179" customFormat="1" ht="28.7" customHeight="1" x14ac:dyDescent="0.2">
      <c r="A19" s="206" t="s">
        <v>1220</v>
      </c>
      <c r="B19" s="206" t="s">
        <v>1057</v>
      </c>
      <c r="C19" s="206" t="s">
        <v>1221</v>
      </c>
      <c r="D19" s="206" t="s">
        <v>1038</v>
      </c>
      <c r="E19" s="206" t="s">
        <v>1222</v>
      </c>
      <c r="F19" s="206" t="s">
        <v>1161</v>
      </c>
      <c r="I19" s="206" t="s">
        <v>1223</v>
      </c>
      <c r="J19" s="206" t="s">
        <v>1224</v>
      </c>
      <c r="K19" s="206" t="s">
        <v>1225</v>
      </c>
      <c r="L19" s="206" t="s">
        <v>1226</v>
      </c>
      <c r="M19" s="206" t="s">
        <v>1227</v>
      </c>
      <c r="N19" s="206" t="s">
        <v>1228</v>
      </c>
      <c r="O19" s="206" t="s">
        <v>1229</v>
      </c>
      <c r="P19" s="206" t="s">
        <v>1230</v>
      </c>
      <c r="Q19" s="206" t="s">
        <v>1231</v>
      </c>
      <c r="R19" s="206" t="s">
        <v>1232</v>
      </c>
      <c r="S19" s="206" t="s">
        <v>1233</v>
      </c>
      <c r="T19" s="206" t="s">
        <v>1234</v>
      </c>
      <c r="U19" s="206" t="s">
        <v>1235</v>
      </c>
      <c r="V19" s="206" t="s">
        <v>1161</v>
      </c>
      <c r="W19" s="245"/>
      <c r="X19" s="246"/>
      <c r="Y19" s="246"/>
      <c r="Z19" s="247"/>
      <c r="AA19" s="248"/>
      <c r="AB19" s="249"/>
      <c r="AC19" s="249"/>
      <c r="AD19" s="249"/>
      <c r="AE19" s="250"/>
      <c r="AF19" s="249"/>
      <c r="AG19" s="249"/>
      <c r="AH19" s="249"/>
      <c r="AI19" s="249"/>
      <c r="AJ19" s="249"/>
      <c r="AK19" s="249"/>
    </row>
    <row r="20" spans="1:38" s="179" customFormat="1" ht="18" customHeight="1" thickBot="1" x14ac:dyDescent="0.25">
      <c r="A20" s="213" t="s">
        <v>1161</v>
      </c>
      <c r="B20" s="214">
        <f>SUM(B21:B23)</f>
        <v>58231</v>
      </c>
      <c r="C20" s="251">
        <f>IF(ISERROR(B20/F20),0,B20/F20)</f>
        <v>0.88544058389720981</v>
      </c>
      <c r="D20" s="214">
        <f>SUM(D21:D23)</f>
        <v>7534</v>
      </c>
      <c r="E20" s="251">
        <f>IF(ISERROR(D20/F20),0,D20/F20)</f>
        <v>0.11455941610279023</v>
      </c>
      <c r="F20" s="214">
        <f>B20+D20</f>
        <v>65765</v>
      </c>
      <c r="I20" s="252" t="s">
        <v>1161</v>
      </c>
      <c r="J20" s="253">
        <f t="shared" ref="J20:U20" si="0">SUM(J21:J22)</f>
        <v>41610</v>
      </c>
      <c r="K20" s="254">
        <f t="shared" si="0"/>
        <v>38387</v>
      </c>
      <c r="L20" s="253">
        <f t="shared" si="0"/>
        <v>42107</v>
      </c>
      <c r="M20" s="253">
        <f t="shared" si="0"/>
        <v>39678</v>
      </c>
      <c r="N20" s="253">
        <f t="shared" si="0"/>
        <v>31849</v>
      </c>
      <c r="O20" s="253">
        <f t="shared" si="0"/>
        <v>32492</v>
      </c>
      <c r="P20" s="253">
        <f t="shared" si="0"/>
        <v>33083</v>
      </c>
      <c r="Q20" s="253">
        <f t="shared" si="0"/>
        <v>34079</v>
      </c>
      <c r="R20" s="253">
        <f t="shared" si="0"/>
        <v>43138</v>
      </c>
      <c r="S20" s="253">
        <f t="shared" si="0"/>
        <v>17525</v>
      </c>
      <c r="T20" s="253">
        <f t="shared" si="0"/>
        <v>0</v>
      </c>
      <c r="U20" s="253">
        <f t="shared" si="0"/>
        <v>0</v>
      </c>
      <c r="V20" s="255">
        <f>SUM(J20:U20)</f>
        <v>353948</v>
      </c>
      <c r="W20" s="245"/>
      <c r="X20" s="245"/>
      <c r="Y20" s="246"/>
      <c r="Z20" s="246"/>
      <c r="AA20" s="249"/>
      <c r="AB20" s="249"/>
      <c r="AC20" s="249"/>
      <c r="AD20" s="249"/>
      <c r="AE20" s="250"/>
      <c r="AF20" s="249"/>
      <c r="AG20" s="249"/>
    </row>
    <row r="21" spans="1:38" s="179" customFormat="1" ht="15" customHeight="1" thickTop="1" x14ac:dyDescent="0.2">
      <c r="A21" s="222" t="s">
        <v>1236</v>
      </c>
      <c r="B21" s="256">
        <v>18043</v>
      </c>
      <c r="C21" s="257">
        <v>0.93</v>
      </c>
      <c r="D21" s="256">
        <v>1286</v>
      </c>
      <c r="E21" s="257">
        <v>7.0000000000000007E-2</v>
      </c>
      <c r="F21" s="258">
        <v>19329</v>
      </c>
      <c r="I21" s="258" t="s">
        <v>1038</v>
      </c>
      <c r="J21" s="259">
        <v>4990</v>
      </c>
      <c r="K21" s="259">
        <v>3922</v>
      </c>
      <c r="L21" s="259">
        <v>4288</v>
      </c>
      <c r="M21" s="259">
        <v>3595</v>
      </c>
      <c r="N21" s="259">
        <v>3159</v>
      </c>
      <c r="O21" s="259">
        <v>2913</v>
      </c>
      <c r="P21" s="259">
        <v>3020</v>
      </c>
      <c r="Q21" s="259">
        <v>3192</v>
      </c>
      <c r="R21" s="259">
        <v>3575</v>
      </c>
      <c r="S21" s="259">
        <v>1312</v>
      </c>
      <c r="T21" s="259">
        <v>0</v>
      </c>
      <c r="U21" s="259">
        <v>0</v>
      </c>
      <c r="V21" s="260">
        <f>SUM(J21:U21)</f>
        <v>33966</v>
      </c>
      <c r="W21" s="245"/>
      <c r="X21" s="261"/>
      <c r="Y21" s="261"/>
      <c r="Z21" s="246"/>
      <c r="AA21" s="249"/>
      <c r="AB21" s="250"/>
      <c r="AC21" s="250"/>
      <c r="AD21" s="250"/>
      <c r="AE21" s="250"/>
      <c r="AF21" s="250"/>
      <c r="AG21" s="250"/>
      <c r="AH21" s="250"/>
      <c r="AI21" s="250"/>
      <c r="AJ21" s="250"/>
      <c r="AK21" s="250"/>
      <c r="AL21" s="250"/>
    </row>
    <row r="22" spans="1:38" s="179" customFormat="1" ht="15" customHeight="1" x14ac:dyDescent="0.2">
      <c r="A22" s="229" t="s">
        <v>1237</v>
      </c>
      <c r="B22" s="262">
        <v>18513</v>
      </c>
      <c r="C22" s="263">
        <v>0.91</v>
      </c>
      <c r="D22" s="262">
        <v>1734</v>
      </c>
      <c r="E22" s="263">
        <v>0.09</v>
      </c>
      <c r="F22" s="264">
        <v>20247</v>
      </c>
      <c r="I22" s="264" t="s">
        <v>1238</v>
      </c>
      <c r="J22" s="265">
        <v>36620</v>
      </c>
      <c r="K22" s="259">
        <v>34465</v>
      </c>
      <c r="L22" s="259">
        <v>37819</v>
      </c>
      <c r="M22" s="259">
        <v>36083</v>
      </c>
      <c r="N22" s="259">
        <v>28690</v>
      </c>
      <c r="O22" s="259">
        <v>29579</v>
      </c>
      <c r="P22" s="259">
        <v>30063</v>
      </c>
      <c r="Q22" s="259">
        <v>30887</v>
      </c>
      <c r="R22" s="259">
        <v>39563</v>
      </c>
      <c r="S22" s="259">
        <v>16213</v>
      </c>
      <c r="T22" s="259">
        <v>0</v>
      </c>
      <c r="U22" s="259">
        <v>0</v>
      </c>
      <c r="V22" s="266">
        <f>SUM(J22:U22)</f>
        <v>319982</v>
      </c>
      <c r="W22" s="245"/>
      <c r="X22" s="261"/>
      <c r="Y22" s="261"/>
      <c r="Z22" s="261"/>
      <c r="AA22" s="250"/>
      <c r="AB22" s="250"/>
      <c r="AC22" s="250"/>
      <c r="AD22" s="250"/>
      <c r="AE22" s="250"/>
      <c r="AF22" s="250"/>
      <c r="AG22" s="250"/>
      <c r="AH22" s="250"/>
      <c r="AI22" s="250"/>
      <c r="AJ22" s="250"/>
      <c r="AK22" s="250"/>
      <c r="AL22" s="250"/>
    </row>
    <row r="23" spans="1:38" s="179" customFormat="1" ht="15" customHeight="1" x14ac:dyDescent="0.2">
      <c r="A23" s="229" t="s">
        <v>1239</v>
      </c>
      <c r="B23" s="262">
        <v>21675</v>
      </c>
      <c r="C23" s="263">
        <v>0.83</v>
      </c>
      <c r="D23" s="262">
        <v>4514</v>
      </c>
      <c r="E23" s="263">
        <v>0.17</v>
      </c>
      <c r="F23" s="264">
        <v>26189</v>
      </c>
      <c r="T23" s="194"/>
      <c r="U23" s="194"/>
      <c r="V23" s="267"/>
      <c r="W23" s="245"/>
      <c r="X23" s="261"/>
      <c r="Y23" s="261"/>
      <c r="Z23" s="261"/>
      <c r="AA23" s="250"/>
      <c r="AB23" s="250"/>
      <c r="AC23" s="250"/>
      <c r="AD23" s="250"/>
      <c r="AE23" s="250"/>
      <c r="AF23" s="250"/>
      <c r="AG23" s="250"/>
      <c r="AH23" s="250"/>
      <c r="AI23" s="250"/>
      <c r="AJ23" s="250"/>
      <c r="AK23" s="250"/>
      <c r="AL23" s="250"/>
    </row>
    <row r="24" spans="1:38" s="179" customFormat="1" ht="12" customHeight="1" x14ac:dyDescent="0.2">
      <c r="A24" s="268"/>
      <c r="T24" s="194"/>
      <c r="U24" s="194"/>
      <c r="V24" s="267"/>
      <c r="W24" s="245"/>
      <c r="X24" s="245"/>
      <c r="Y24" s="261"/>
      <c r="Z24" s="261"/>
      <c r="AA24" s="250"/>
      <c r="AB24" s="250"/>
      <c r="AC24" s="250"/>
      <c r="AD24" s="250"/>
      <c r="AE24" s="250"/>
      <c r="AF24" s="250"/>
      <c r="AG24" s="250"/>
      <c r="AH24" s="250"/>
      <c r="AK24" s="250"/>
      <c r="AL24" s="250"/>
    </row>
    <row r="25" spans="1:38" s="175" customFormat="1" ht="16.5" customHeight="1" x14ac:dyDescent="0.25">
      <c r="A25" s="269"/>
      <c r="B25" s="238"/>
      <c r="C25" s="238"/>
      <c r="D25" s="238"/>
      <c r="E25" s="238"/>
      <c r="F25" s="238"/>
      <c r="G25" s="238"/>
      <c r="H25" s="238"/>
      <c r="I25" s="238"/>
      <c r="J25" s="238"/>
      <c r="K25" s="238"/>
      <c r="L25" s="238"/>
      <c r="M25" s="238"/>
      <c r="N25" s="238"/>
      <c r="O25" s="238"/>
      <c r="P25" s="238"/>
      <c r="Q25" s="238"/>
      <c r="R25" s="238"/>
      <c r="S25" s="238"/>
      <c r="T25" s="238"/>
      <c r="U25" s="238"/>
      <c r="V25" s="270"/>
      <c r="W25" s="194"/>
      <c r="X25" s="194"/>
      <c r="Y25" s="194"/>
      <c r="Z25" s="221"/>
      <c r="AA25" s="212"/>
      <c r="AB25" s="212"/>
      <c r="AC25" s="212"/>
      <c r="AD25" s="212"/>
      <c r="AE25" s="212"/>
      <c r="AF25" s="212"/>
      <c r="AG25" s="212"/>
    </row>
    <row r="26" spans="1:38" s="179" customFormat="1" ht="12" customHeight="1" x14ac:dyDescent="0.2">
      <c r="A26" s="268"/>
      <c r="T26" s="194"/>
      <c r="U26" s="194"/>
      <c r="V26" s="267"/>
      <c r="W26" s="245"/>
      <c r="X26" s="245"/>
      <c r="Y26" s="245"/>
      <c r="Z26" s="261"/>
      <c r="AA26" s="250"/>
      <c r="AB26" s="250"/>
      <c r="AC26" s="250"/>
      <c r="AG26" s="250"/>
    </row>
    <row r="27" spans="1:38" s="175" customFormat="1" ht="21.6" customHeight="1" x14ac:dyDescent="0.2">
      <c r="A27" s="271" t="s">
        <v>1240</v>
      </c>
      <c r="B27" s="174"/>
      <c r="C27" s="174"/>
      <c r="D27" s="174"/>
      <c r="E27" s="174"/>
      <c r="F27" s="272"/>
      <c r="H27" s="273" t="s">
        <v>1241</v>
      </c>
      <c r="I27" s="174"/>
      <c r="J27" s="174"/>
      <c r="K27" s="174"/>
      <c r="L27" s="174"/>
      <c r="M27" s="272"/>
      <c r="N27" s="273" t="s">
        <v>1242</v>
      </c>
      <c r="O27" s="174"/>
      <c r="P27" s="174"/>
      <c r="Q27" s="174"/>
      <c r="R27" s="174"/>
      <c r="S27" s="272"/>
      <c r="V27" s="274"/>
      <c r="W27" s="275"/>
      <c r="X27" s="276"/>
      <c r="Y27" s="276"/>
      <c r="Z27" s="276"/>
      <c r="AA27" s="277"/>
      <c r="AB27" s="277"/>
      <c r="AC27" s="277"/>
      <c r="AD27" s="277"/>
      <c r="AE27" s="212"/>
      <c r="AF27" s="212"/>
      <c r="AG27" s="212"/>
      <c r="AH27" s="277"/>
      <c r="AI27" s="277"/>
    </row>
    <row r="28" spans="1:38" s="179" customFormat="1" ht="37.5" customHeight="1" x14ac:dyDescent="0.25">
      <c r="A28" s="206" t="s">
        <v>1243</v>
      </c>
      <c r="B28" s="206" t="s">
        <v>1236</v>
      </c>
      <c r="C28" s="206" t="s">
        <v>1237</v>
      </c>
      <c r="D28" s="206" t="s">
        <v>1239</v>
      </c>
      <c r="E28" s="206" t="s">
        <v>1161</v>
      </c>
      <c r="H28" s="207" t="s">
        <v>1243</v>
      </c>
      <c r="I28" s="208"/>
      <c r="J28" s="211" t="s">
        <v>1161</v>
      </c>
      <c r="K28" s="194"/>
      <c r="L28" s="194"/>
      <c r="M28" s="194"/>
      <c r="N28" s="278" t="s">
        <v>1244</v>
      </c>
      <c r="O28" s="242"/>
      <c r="P28" s="279" t="s">
        <v>1161</v>
      </c>
      <c r="U28" s="194"/>
      <c r="V28" s="280"/>
      <c r="W28" s="245"/>
      <c r="X28" s="245"/>
      <c r="Y28" s="245"/>
      <c r="Z28" s="250"/>
      <c r="AD28" s="250"/>
      <c r="AE28" s="250"/>
      <c r="AF28" s="250"/>
      <c r="AG28" s="250"/>
    </row>
    <row r="29" spans="1:38" s="179" customFormat="1" ht="15" customHeight="1" thickBot="1" x14ac:dyDescent="0.3">
      <c r="A29" s="213" t="s">
        <v>1161</v>
      </c>
      <c r="B29" s="214">
        <f>SUM(B30:B31)</f>
        <v>103335</v>
      </c>
      <c r="C29" s="214">
        <f>SUM(C30:C31)</f>
        <v>107356</v>
      </c>
      <c r="D29" s="214">
        <f>SUM(D30:D31)</f>
        <v>143257</v>
      </c>
      <c r="E29" s="254">
        <f>SUM(B29:D29)</f>
        <v>353948</v>
      </c>
      <c r="H29" s="218" t="s">
        <v>1161</v>
      </c>
      <c r="I29" s="219"/>
      <c r="J29" s="281">
        <f>SUM(J30:J31)</f>
        <v>343920</v>
      </c>
      <c r="K29" s="194"/>
      <c r="L29" s="194"/>
      <c r="M29" s="194"/>
      <c r="N29" s="282" t="s">
        <v>1161</v>
      </c>
      <c r="O29" s="219"/>
      <c r="P29" s="283">
        <v>356389</v>
      </c>
      <c r="U29" s="221"/>
      <c r="V29" s="284"/>
      <c r="W29" s="245"/>
      <c r="X29" s="261"/>
      <c r="Y29" s="261"/>
      <c r="Z29" s="250"/>
      <c r="AA29" s="250"/>
      <c r="AB29" s="250"/>
      <c r="AC29" s="250"/>
      <c r="AD29" s="250"/>
      <c r="AE29" s="250"/>
      <c r="AF29" s="250"/>
      <c r="AG29" s="250"/>
      <c r="AH29" s="250"/>
      <c r="AI29" s="250"/>
      <c r="AJ29" s="250"/>
    </row>
    <row r="30" spans="1:38" s="179" customFormat="1" ht="14.45" customHeight="1" thickTop="1" x14ac:dyDescent="0.25">
      <c r="A30" s="222" t="s">
        <v>1208</v>
      </c>
      <c r="B30" s="256">
        <v>0</v>
      </c>
      <c r="C30" s="256">
        <v>3</v>
      </c>
      <c r="D30" s="256">
        <v>41</v>
      </c>
      <c r="E30" s="258">
        <f>SUM(B30:D30)</f>
        <v>44</v>
      </c>
      <c r="F30" s="175"/>
      <c r="G30" s="175"/>
      <c r="H30" s="285" t="s">
        <v>1208</v>
      </c>
      <c r="I30" s="286"/>
      <c r="J30" s="228">
        <v>1636</v>
      </c>
      <c r="K30" s="194"/>
      <c r="L30" s="194"/>
      <c r="M30" s="194"/>
      <c r="N30" s="231" t="s">
        <v>1245</v>
      </c>
      <c r="O30" s="208"/>
      <c r="P30" s="232">
        <v>36548</v>
      </c>
      <c r="R30" s="194"/>
      <c r="U30" s="221"/>
      <c r="V30" s="284"/>
      <c r="W30" s="245"/>
      <c r="X30" s="261"/>
      <c r="Y30" s="261"/>
      <c r="Z30" s="250"/>
      <c r="AA30" s="250"/>
      <c r="AB30" s="250"/>
      <c r="AC30" s="250"/>
      <c r="AD30" s="250"/>
      <c r="AE30" s="250"/>
      <c r="AF30" s="250"/>
      <c r="AG30" s="250"/>
      <c r="AH30" s="250"/>
      <c r="AI30" s="250"/>
      <c r="AJ30" s="250"/>
    </row>
    <row r="31" spans="1:38" s="179" customFormat="1" ht="14.45" customHeight="1" x14ac:dyDescent="0.25">
      <c r="A31" s="229" t="s">
        <v>1209</v>
      </c>
      <c r="B31" s="262">
        <v>103335</v>
      </c>
      <c r="C31" s="262">
        <v>107353</v>
      </c>
      <c r="D31" s="262">
        <v>143216</v>
      </c>
      <c r="E31" s="258">
        <f>SUM(B31:D31)</f>
        <v>353904</v>
      </c>
      <c r="F31" s="175"/>
      <c r="G31" s="175"/>
      <c r="H31" s="231" t="s">
        <v>1209</v>
      </c>
      <c r="I31" s="208"/>
      <c r="J31" s="232">
        <v>342284</v>
      </c>
      <c r="K31" s="194"/>
      <c r="L31" s="194"/>
      <c r="M31" s="194"/>
      <c r="N31" s="236"/>
      <c r="O31" s="236"/>
      <c r="P31" s="287"/>
      <c r="R31" s="194"/>
      <c r="U31" s="221"/>
      <c r="V31" s="284"/>
      <c r="W31" s="245"/>
      <c r="X31" s="261"/>
      <c r="Y31" s="261"/>
      <c r="Z31" s="250"/>
      <c r="AA31" s="250"/>
      <c r="AB31" s="250"/>
      <c r="AC31" s="250"/>
      <c r="AD31" s="250"/>
      <c r="AE31" s="250"/>
      <c r="AF31" s="250"/>
      <c r="AG31" s="250"/>
      <c r="AH31" s="250"/>
      <c r="AI31" s="250"/>
      <c r="AJ31" s="250"/>
    </row>
    <row r="32" spans="1:38" s="179" customFormat="1" ht="12" customHeight="1" x14ac:dyDescent="0.2">
      <c r="A32" s="268"/>
      <c r="F32" s="175"/>
      <c r="G32" s="175"/>
      <c r="H32" s="175"/>
      <c r="K32" s="175"/>
      <c r="L32" s="194"/>
      <c r="M32" s="194"/>
      <c r="N32" s="194"/>
      <c r="O32" s="194"/>
      <c r="P32" s="194"/>
      <c r="Q32" s="194"/>
      <c r="R32" s="194"/>
      <c r="S32" s="194"/>
      <c r="T32" s="194"/>
      <c r="U32" s="221"/>
      <c r="V32" s="267"/>
      <c r="W32" s="245"/>
      <c r="X32" s="261"/>
      <c r="Y32" s="261"/>
      <c r="Z32" s="261"/>
      <c r="AA32" s="250"/>
      <c r="AB32" s="250"/>
      <c r="AC32" s="250"/>
      <c r="AD32" s="250"/>
      <c r="AE32" s="250"/>
      <c r="AF32" s="250"/>
      <c r="AG32" s="250"/>
    </row>
    <row r="33" spans="1:45" s="175" customFormat="1" ht="16.5" customHeight="1" x14ac:dyDescent="0.25">
      <c r="A33" s="269"/>
      <c r="B33" s="238"/>
      <c r="C33" s="238"/>
      <c r="D33" s="238"/>
      <c r="E33" s="238"/>
      <c r="F33" s="238"/>
      <c r="G33" s="238"/>
      <c r="H33" s="238"/>
      <c r="I33" s="238"/>
      <c r="J33" s="238"/>
      <c r="K33" s="238"/>
      <c r="L33" s="238"/>
      <c r="M33" s="238"/>
      <c r="N33" s="238"/>
      <c r="O33" s="238"/>
      <c r="P33" s="238"/>
      <c r="Q33" s="238"/>
      <c r="R33" s="238"/>
      <c r="S33" s="238"/>
      <c r="T33" s="238"/>
      <c r="U33" s="238"/>
      <c r="V33" s="270"/>
      <c r="W33" s="194"/>
      <c r="X33" s="194"/>
      <c r="Y33" s="194"/>
      <c r="Z33" s="221"/>
      <c r="AA33" s="212"/>
      <c r="AB33" s="212"/>
      <c r="AC33" s="212"/>
      <c r="AD33" s="212"/>
      <c r="AE33" s="212"/>
      <c r="AF33" s="212"/>
      <c r="AG33" s="212"/>
    </row>
    <row r="34" spans="1:45" s="179" customFormat="1" ht="12" customHeight="1" x14ac:dyDescent="0.2">
      <c r="A34" s="268"/>
      <c r="F34" s="175"/>
      <c r="G34" s="175"/>
      <c r="H34" s="175"/>
      <c r="I34" s="250"/>
      <c r="K34" s="175"/>
      <c r="L34" s="194"/>
      <c r="M34" s="194"/>
      <c r="N34" s="194"/>
      <c r="O34" s="194"/>
      <c r="P34" s="194"/>
      <c r="Q34" s="194"/>
      <c r="R34" s="194"/>
      <c r="S34" s="194"/>
      <c r="T34" s="194"/>
      <c r="U34" s="194"/>
      <c r="V34" s="288"/>
      <c r="W34" s="245"/>
      <c r="X34" s="245"/>
      <c r="Y34" s="245"/>
      <c r="Z34" s="261"/>
      <c r="AA34" s="250"/>
      <c r="AB34" s="250"/>
      <c r="AC34" s="250"/>
      <c r="AD34" s="250"/>
      <c r="AE34" s="250"/>
    </row>
    <row r="35" spans="1:45" s="179" customFormat="1" ht="12" customHeight="1" x14ac:dyDescent="0.2">
      <c r="A35" s="268"/>
      <c r="F35" s="175"/>
      <c r="G35" s="175"/>
      <c r="H35" s="175"/>
      <c r="I35" s="249"/>
      <c r="J35" s="249"/>
      <c r="K35" s="277"/>
      <c r="L35" s="289"/>
      <c r="M35" s="289"/>
      <c r="N35" s="289"/>
      <c r="O35" s="289"/>
      <c r="P35" s="289"/>
      <c r="Q35" s="289"/>
      <c r="R35" s="289"/>
      <c r="S35" s="289"/>
      <c r="T35" s="194"/>
      <c r="U35" s="194"/>
      <c r="V35" s="267"/>
      <c r="W35" s="245"/>
      <c r="X35" s="245"/>
      <c r="Y35" s="245"/>
      <c r="Z35" s="261"/>
      <c r="AB35" s="250"/>
      <c r="AC35" s="250"/>
      <c r="AE35" s="250"/>
    </row>
    <row r="36" spans="1:45" s="179" customFormat="1" ht="22.5" customHeight="1" x14ac:dyDescent="0.2">
      <c r="A36" s="290" t="s">
        <v>1246</v>
      </c>
      <c r="B36" s="177"/>
      <c r="C36" s="177"/>
      <c r="D36" s="177"/>
      <c r="E36" s="177"/>
      <c r="F36" s="272"/>
      <c r="G36" s="175"/>
      <c r="H36" s="175"/>
      <c r="I36" s="175"/>
      <c r="J36" s="175"/>
      <c r="K36" s="175"/>
      <c r="L36" s="175"/>
      <c r="M36" s="175"/>
      <c r="N36" s="175"/>
      <c r="O36" s="175"/>
      <c r="P36" s="175"/>
      <c r="Q36" s="175"/>
      <c r="R36" s="212"/>
      <c r="S36" s="175"/>
      <c r="T36" s="175"/>
      <c r="U36" s="175"/>
      <c r="V36" s="291"/>
      <c r="W36" s="245"/>
      <c r="X36" s="245"/>
      <c r="Y36" s="245"/>
      <c r="Z36" s="261"/>
      <c r="AB36" s="250"/>
      <c r="AC36" s="250"/>
      <c r="AE36" s="250"/>
    </row>
    <row r="37" spans="1:45" s="179" customFormat="1" ht="38.450000000000003" customHeight="1" x14ac:dyDescent="0.2">
      <c r="A37" s="292" t="s">
        <v>1247</v>
      </c>
      <c r="B37" s="206" t="s">
        <v>1220</v>
      </c>
      <c r="C37" s="206" t="s">
        <v>1224</v>
      </c>
      <c r="D37" s="206" t="s">
        <v>1225</v>
      </c>
      <c r="E37" s="206" t="s">
        <v>1226</v>
      </c>
      <c r="F37" s="206" t="s">
        <v>1227</v>
      </c>
      <c r="G37" s="206" t="s">
        <v>1228</v>
      </c>
      <c r="H37" s="206" t="s">
        <v>1229</v>
      </c>
      <c r="I37" s="206" t="s">
        <v>1230</v>
      </c>
      <c r="J37" s="206" t="s">
        <v>1231</v>
      </c>
      <c r="K37" s="206" t="s">
        <v>1232</v>
      </c>
      <c r="L37" s="206" t="s">
        <v>1233</v>
      </c>
      <c r="M37" s="206" t="s">
        <v>1234</v>
      </c>
      <c r="N37" s="206" t="s">
        <v>1235</v>
      </c>
      <c r="O37" s="206" t="s">
        <v>1161</v>
      </c>
      <c r="P37" s="175"/>
      <c r="Q37" s="175"/>
      <c r="R37" s="212"/>
      <c r="S37" s="175"/>
      <c r="T37" s="175"/>
      <c r="U37" s="175"/>
      <c r="V37" s="291"/>
      <c r="W37" s="175"/>
      <c r="X37" s="175"/>
      <c r="Y37" s="175"/>
      <c r="Z37" s="175"/>
      <c r="AA37" s="175"/>
      <c r="AB37" s="175"/>
      <c r="AC37" s="175"/>
      <c r="AD37" s="245"/>
      <c r="AE37" s="245"/>
      <c r="AI37" s="250"/>
      <c r="AJ37" s="250"/>
      <c r="AL37" s="250"/>
    </row>
    <row r="38" spans="1:45" s="179" customFormat="1" ht="15.75" customHeight="1" thickBot="1" x14ac:dyDescent="0.25">
      <c r="A38" s="293" t="s">
        <v>1161</v>
      </c>
      <c r="B38" s="214"/>
      <c r="C38" s="294">
        <f>SUM(C51,C39,C55,C59,C63,C67,C71,C75,C79,C83,C87)</f>
        <v>37533</v>
      </c>
      <c r="D38" s="294">
        <f t="shared" ref="D38:L38" si="1">SUM(D51,D39,D55,D59,D63,D67,D71,D75,D79,D83,D87)</f>
        <v>36440</v>
      </c>
      <c r="E38" s="294">
        <f t="shared" si="1"/>
        <v>38728</v>
      </c>
      <c r="F38" s="294">
        <f t="shared" si="1"/>
        <v>37400</v>
      </c>
      <c r="G38" s="294">
        <f t="shared" si="1"/>
        <v>36634</v>
      </c>
      <c r="H38" s="294">
        <f t="shared" si="1"/>
        <v>36880</v>
      </c>
      <c r="I38" s="294">
        <f t="shared" si="1"/>
        <v>33877</v>
      </c>
      <c r="J38" s="294">
        <f t="shared" si="1"/>
        <v>36196</v>
      </c>
      <c r="K38" s="294">
        <f t="shared" si="1"/>
        <v>34551</v>
      </c>
      <c r="L38" s="294">
        <f t="shared" si="1"/>
        <v>15681</v>
      </c>
      <c r="M38" s="294">
        <f t="shared" ref="M38:N38" si="2">SUM(M39,M55,M59,M63,M67,M71,M75,M79,M83,M87)</f>
        <v>0</v>
      </c>
      <c r="N38" s="294">
        <f t="shared" si="2"/>
        <v>0</v>
      </c>
      <c r="O38" s="295">
        <f>SUM(C38:N38)</f>
        <v>343920</v>
      </c>
      <c r="P38" s="175"/>
      <c r="Q38" s="175"/>
      <c r="R38" s="212"/>
      <c r="S38" s="175"/>
      <c r="T38" s="175"/>
      <c r="U38" s="212"/>
      <c r="V38" s="296"/>
      <c r="W38" s="212"/>
      <c r="X38" s="212"/>
      <c r="Y38" s="212"/>
      <c r="Z38" s="212"/>
      <c r="AA38" s="212"/>
      <c r="AB38" s="212"/>
      <c r="AC38" s="212"/>
      <c r="AD38" s="261"/>
      <c r="AE38" s="261"/>
      <c r="AF38" s="250"/>
      <c r="AG38" s="250"/>
      <c r="AH38" s="250"/>
      <c r="AI38" s="250"/>
      <c r="AJ38" s="250"/>
      <c r="AL38" s="250"/>
      <c r="AP38" s="250"/>
      <c r="AQ38" s="250"/>
      <c r="AR38" s="250"/>
      <c r="AS38" s="250"/>
    </row>
    <row r="39" spans="1:45" s="179" customFormat="1" ht="15" customHeight="1" thickTop="1" x14ac:dyDescent="0.2">
      <c r="A39" s="297" t="s">
        <v>1248</v>
      </c>
      <c r="B39" s="297" t="s">
        <v>1161</v>
      </c>
      <c r="C39" s="298">
        <v>1087</v>
      </c>
      <c r="D39" s="298">
        <v>1275</v>
      </c>
      <c r="E39" s="298">
        <v>2083</v>
      </c>
      <c r="F39" s="298">
        <v>2315</v>
      </c>
      <c r="G39" s="298">
        <v>2057</v>
      </c>
      <c r="H39" s="298">
        <v>2142</v>
      </c>
      <c r="I39" s="298">
        <v>1731</v>
      </c>
      <c r="J39" s="298">
        <v>1942</v>
      </c>
      <c r="K39" s="298">
        <v>2017</v>
      </c>
      <c r="L39" s="298">
        <v>721</v>
      </c>
      <c r="M39" s="298">
        <f t="shared" ref="M39:N39" si="3">SUM(M40:M42)</f>
        <v>0</v>
      </c>
      <c r="N39" s="298">
        <f t="shared" si="3"/>
        <v>0</v>
      </c>
      <c r="O39" s="298">
        <f>SUM(C39:N39)</f>
        <v>17370</v>
      </c>
      <c r="P39" s="299"/>
      <c r="Q39" s="299"/>
      <c r="R39" s="212"/>
      <c r="S39" s="212"/>
      <c r="T39" s="212"/>
      <c r="U39" s="212"/>
      <c r="V39" s="296"/>
      <c r="W39" s="212"/>
      <c r="X39" s="212"/>
      <c r="Y39" s="212"/>
      <c r="Z39" s="212"/>
      <c r="AA39" s="212"/>
      <c r="AB39" s="212"/>
      <c r="AC39" s="212"/>
      <c r="AD39" s="261"/>
      <c r="AE39" s="261"/>
      <c r="AF39" s="250"/>
      <c r="AG39" s="250"/>
      <c r="AH39" s="250"/>
      <c r="AI39" s="250"/>
      <c r="AS39" s="250"/>
    </row>
    <row r="40" spans="1:45" s="179" customFormat="1" ht="15" customHeight="1" x14ac:dyDescent="0.2">
      <c r="A40" s="264"/>
      <c r="B40" s="264" t="s">
        <v>1236</v>
      </c>
      <c r="C40" s="300">
        <v>117</v>
      </c>
      <c r="D40" s="300">
        <v>151</v>
      </c>
      <c r="E40" s="300">
        <v>238</v>
      </c>
      <c r="F40" s="300">
        <v>251</v>
      </c>
      <c r="G40" s="300">
        <v>225</v>
      </c>
      <c r="H40" s="300">
        <v>195</v>
      </c>
      <c r="I40" s="300">
        <v>202</v>
      </c>
      <c r="J40" s="300">
        <v>226</v>
      </c>
      <c r="K40" s="300">
        <v>232</v>
      </c>
      <c r="L40" s="301">
        <v>69</v>
      </c>
      <c r="M40" s="301">
        <v>0</v>
      </c>
      <c r="N40" s="301">
        <v>0</v>
      </c>
      <c r="O40" s="302">
        <f>O44+O48</f>
        <v>1906</v>
      </c>
      <c r="P40" s="175"/>
      <c r="Q40" s="175"/>
      <c r="R40" s="212"/>
      <c r="S40" s="175"/>
      <c r="T40" s="175"/>
      <c r="U40" s="212"/>
      <c r="V40" s="296"/>
      <c r="W40" s="175"/>
      <c r="X40" s="175"/>
      <c r="Y40" s="175"/>
      <c r="Z40" s="175"/>
      <c r="AA40" s="212"/>
      <c r="AB40" s="212"/>
      <c r="AC40" s="212"/>
      <c r="AD40" s="261"/>
      <c r="AE40" s="261"/>
      <c r="AF40" s="250"/>
      <c r="AG40" s="250"/>
      <c r="AH40" s="250"/>
      <c r="AI40" s="250"/>
      <c r="AS40" s="250"/>
    </row>
    <row r="41" spans="1:45" s="179" customFormat="1" ht="15" customHeight="1" x14ac:dyDescent="0.2">
      <c r="A41" s="264"/>
      <c r="B41" s="264" t="s">
        <v>1237</v>
      </c>
      <c r="C41" s="300">
        <v>305</v>
      </c>
      <c r="D41" s="300">
        <v>391</v>
      </c>
      <c r="E41" s="300">
        <v>608</v>
      </c>
      <c r="F41" s="300">
        <v>613</v>
      </c>
      <c r="G41" s="300">
        <v>494</v>
      </c>
      <c r="H41" s="300">
        <v>625</v>
      </c>
      <c r="I41" s="300">
        <v>510</v>
      </c>
      <c r="J41" s="300">
        <v>688</v>
      </c>
      <c r="K41" s="300">
        <v>771</v>
      </c>
      <c r="L41" s="301">
        <v>253</v>
      </c>
      <c r="M41" s="301">
        <v>0</v>
      </c>
      <c r="N41" s="301">
        <v>0</v>
      </c>
      <c r="O41" s="302">
        <f>O45+O49</f>
        <v>5258</v>
      </c>
      <c r="P41" s="175"/>
      <c r="Q41" s="175"/>
      <c r="R41" s="175"/>
      <c r="S41" s="212"/>
      <c r="T41" s="212"/>
      <c r="U41" s="212"/>
      <c r="V41" s="296"/>
      <c r="W41" s="175"/>
      <c r="X41" s="175"/>
      <c r="Y41" s="175"/>
      <c r="Z41" s="175"/>
      <c r="AA41" s="175"/>
      <c r="AB41" s="212"/>
      <c r="AC41" s="175"/>
      <c r="AD41" s="261"/>
      <c r="AE41" s="245"/>
      <c r="AF41" s="250"/>
      <c r="AH41" s="250"/>
      <c r="AS41" s="250"/>
    </row>
    <row r="42" spans="1:45" s="179" customFormat="1" ht="15" customHeight="1" x14ac:dyDescent="0.2">
      <c r="A42" s="264"/>
      <c r="B42" s="264" t="s">
        <v>1239</v>
      </c>
      <c r="C42" s="300">
        <v>665</v>
      </c>
      <c r="D42" s="300">
        <v>733</v>
      </c>
      <c r="E42" s="300">
        <v>1237</v>
      </c>
      <c r="F42" s="300">
        <v>1451</v>
      </c>
      <c r="G42" s="300">
        <v>1338</v>
      </c>
      <c r="H42" s="300">
        <v>1322</v>
      </c>
      <c r="I42" s="300">
        <v>1019</v>
      </c>
      <c r="J42" s="300">
        <v>1028</v>
      </c>
      <c r="K42" s="300">
        <v>1014</v>
      </c>
      <c r="L42" s="301">
        <v>399</v>
      </c>
      <c r="M42" s="301">
        <v>0</v>
      </c>
      <c r="N42" s="301">
        <v>0</v>
      </c>
      <c r="O42" s="302">
        <f>O46+O50</f>
        <v>10206</v>
      </c>
      <c r="P42" s="175"/>
      <c r="Q42" s="175"/>
      <c r="R42" s="175"/>
      <c r="S42" s="175"/>
      <c r="T42" s="175"/>
      <c r="U42" s="212"/>
      <c r="V42" s="291"/>
      <c r="W42" s="175"/>
      <c r="X42" s="175"/>
      <c r="Y42" s="175"/>
      <c r="Z42" s="175"/>
      <c r="AA42" s="175"/>
      <c r="AB42" s="212"/>
      <c r="AC42" s="175"/>
      <c r="AD42" s="245"/>
      <c r="AE42" s="245"/>
      <c r="AS42" s="250"/>
    </row>
    <row r="43" spans="1:45" s="179" customFormat="1" ht="14.45" customHeight="1" x14ac:dyDescent="0.2">
      <c r="A43" s="303" t="s">
        <v>1249</v>
      </c>
      <c r="B43" s="304" t="s">
        <v>1161</v>
      </c>
      <c r="C43" s="305">
        <v>91</v>
      </c>
      <c r="D43" s="305">
        <v>107</v>
      </c>
      <c r="E43" s="305">
        <v>133</v>
      </c>
      <c r="F43" s="305">
        <v>145</v>
      </c>
      <c r="G43" s="305">
        <v>182</v>
      </c>
      <c r="H43" s="305">
        <v>82</v>
      </c>
      <c r="I43" s="305">
        <v>52</v>
      </c>
      <c r="J43" s="305">
        <v>52</v>
      </c>
      <c r="K43" s="305">
        <v>46</v>
      </c>
      <c r="L43" s="305">
        <v>15</v>
      </c>
      <c r="M43" s="305">
        <f t="shared" ref="M43:N43" si="4">SUM(M44:M46)</f>
        <v>0</v>
      </c>
      <c r="N43" s="305">
        <f t="shared" si="4"/>
        <v>0</v>
      </c>
      <c r="O43" s="305">
        <f t="shared" ref="O43:O90" si="5">SUM(C43:N43)</f>
        <v>905</v>
      </c>
      <c r="P43" s="299"/>
      <c r="Q43" s="175"/>
      <c r="R43" s="175"/>
      <c r="S43" s="175"/>
      <c r="T43" s="175"/>
      <c r="U43" s="175"/>
      <c r="V43" s="291"/>
      <c r="W43" s="175"/>
      <c r="X43" s="175"/>
      <c r="Y43" s="175"/>
      <c r="Z43" s="175"/>
      <c r="AA43" s="175"/>
      <c r="AB43" s="212"/>
      <c r="AC43" s="175"/>
      <c r="AD43" s="245"/>
      <c r="AE43" s="245"/>
      <c r="AF43" s="250"/>
      <c r="AG43" s="250"/>
      <c r="AH43" s="250"/>
      <c r="AQ43" s="250"/>
      <c r="AR43" s="250"/>
      <c r="AS43" s="250"/>
    </row>
    <row r="44" spans="1:45" s="179" customFormat="1" ht="14.45" customHeight="1" x14ac:dyDescent="0.2">
      <c r="A44" s="306"/>
      <c r="B44" s="264" t="s">
        <v>1236</v>
      </c>
      <c r="C44" s="300">
        <v>18</v>
      </c>
      <c r="D44" s="300">
        <v>21</v>
      </c>
      <c r="E44" s="300">
        <v>28</v>
      </c>
      <c r="F44" s="300">
        <v>31</v>
      </c>
      <c r="G44" s="300">
        <v>38</v>
      </c>
      <c r="H44" s="300">
        <v>14</v>
      </c>
      <c r="I44" s="300">
        <v>9</v>
      </c>
      <c r="J44" s="300">
        <v>12</v>
      </c>
      <c r="K44" s="300">
        <v>14</v>
      </c>
      <c r="L44" s="301">
        <v>4</v>
      </c>
      <c r="M44" s="301">
        <v>0</v>
      </c>
      <c r="N44" s="301">
        <v>0</v>
      </c>
      <c r="O44" s="307">
        <f t="shared" si="5"/>
        <v>189</v>
      </c>
      <c r="P44" s="299"/>
      <c r="Q44" s="175"/>
      <c r="R44" s="175"/>
      <c r="S44" s="175"/>
      <c r="T44" s="175"/>
      <c r="U44" s="175"/>
      <c r="V44" s="291"/>
      <c r="W44" s="175"/>
      <c r="X44" s="175"/>
      <c r="Y44" s="175"/>
      <c r="Z44" s="175"/>
      <c r="AA44" s="175"/>
      <c r="AB44" s="212"/>
      <c r="AC44" s="212"/>
      <c r="AD44" s="245"/>
      <c r="AE44" s="261"/>
      <c r="AF44" s="250"/>
      <c r="AG44" s="250"/>
      <c r="AH44" s="250"/>
      <c r="AI44" s="250"/>
      <c r="AQ44" s="250"/>
      <c r="AR44" s="250"/>
      <c r="AS44" s="250"/>
    </row>
    <row r="45" spans="1:45" s="179" customFormat="1" ht="14.45" customHeight="1" x14ac:dyDescent="0.2">
      <c r="A45" s="306"/>
      <c r="B45" s="264" t="s">
        <v>1237</v>
      </c>
      <c r="C45" s="300">
        <v>23</v>
      </c>
      <c r="D45" s="300">
        <v>30</v>
      </c>
      <c r="E45" s="300">
        <v>33</v>
      </c>
      <c r="F45" s="300">
        <v>36</v>
      </c>
      <c r="G45" s="300">
        <v>43</v>
      </c>
      <c r="H45" s="300">
        <v>27</v>
      </c>
      <c r="I45" s="300">
        <v>16</v>
      </c>
      <c r="J45" s="300">
        <v>14</v>
      </c>
      <c r="K45" s="300">
        <v>16</v>
      </c>
      <c r="L45" s="301">
        <v>3</v>
      </c>
      <c r="M45" s="301">
        <v>0</v>
      </c>
      <c r="N45" s="301">
        <v>0</v>
      </c>
      <c r="O45" s="307">
        <f t="shared" si="5"/>
        <v>241</v>
      </c>
      <c r="P45" s="175"/>
      <c r="Q45" s="175"/>
      <c r="R45" s="175"/>
      <c r="S45" s="175"/>
      <c r="T45" s="175"/>
      <c r="U45" s="175"/>
      <c r="V45" s="291"/>
      <c r="W45" s="175"/>
      <c r="X45" s="175"/>
      <c r="Y45" s="175"/>
      <c r="Z45" s="175"/>
      <c r="AA45" s="175"/>
      <c r="AB45" s="212"/>
      <c r="AC45" s="175"/>
      <c r="AD45" s="261"/>
      <c r="AE45" s="245"/>
      <c r="AF45" s="250"/>
      <c r="AG45" s="250"/>
      <c r="AH45" s="250"/>
      <c r="AI45" s="250"/>
      <c r="AQ45" s="250"/>
      <c r="AR45" s="250"/>
      <c r="AS45" s="250"/>
    </row>
    <row r="46" spans="1:45" s="179" customFormat="1" ht="14.45" customHeight="1" x14ac:dyDescent="0.2">
      <c r="A46" s="306"/>
      <c r="B46" s="264" t="s">
        <v>1239</v>
      </c>
      <c r="C46" s="300">
        <v>50</v>
      </c>
      <c r="D46" s="300">
        <v>56</v>
      </c>
      <c r="E46" s="300">
        <v>72</v>
      </c>
      <c r="F46" s="300">
        <v>78</v>
      </c>
      <c r="G46" s="300">
        <v>101</v>
      </c>
      <c r="H46" s="300">
        <v>41</v>
      </c>
      <c r="I46" s="300">
        <v>27</v>
      </c>
      <c r="J46" s="300">
        <v>26</v>
      </c>
      <c r="K46" s="300">
        <v>16</v>
      </c>
      <c r="L46" s="301">
        <v>8</v>
      </c>
      <c r="M46" s="301">
        <v>0</v>
      </c>
      <c r="N46" s="301">
        <v>0</v>
      </c>
      <c r="O46" s="307">
        <f t="shared" si="5"/>
        <v>475</v>
      </c>
      <c r="P46" s="175"/>
      <c r="Q46" s="175"/>
      <c r="R46" s="175"/>
      <c r="S46" s="175"/>
      <c r="T46" s="175"/>
      <c r="U46" s="175"/>
      <c r="V46" s="291"/>
      <c r="W46" s="175"/>
      <c r="X46" s="175"/>
      <c r="Y46" s="175"/>
      <c r="Z46" s="175"/>
      <c r="AA46" s="175"/>
      <c r="AB46" s="212"/>
      <c r="AC46" s="175"/>
      <c r="AD46" s="261"/>
      <c r="AE46" s="245"/>
      <c r="AF46" s="250"/>
      <c r="AG46" s="250"/>
      <c r="AH46" s="250"/>
      <c r="AI46" s="250"/>
      <c r="AQ46" s="250"/>
      <c r="AR46" s="250"/>
      <c r="AS46" s="250"/>
    </row>
    <row r="47" spans="1:45" s="179" customFormat="1" ht="14.45" customHeight="1" x14ac:dyDescent="0.2">
      <c r="A47" s="303" t="s">
        <v>1250</v>
      </c>
      <c r="B47" s="304" t="s">
        <v>1161</v>
      </c>
      <c r="C47" s="305">
        <v>996</v>
      </c>
      <c r="D47" s="305">
        <v>1168</v>
      </c>
      <c r="E47" s="305">
        <v>1950</v>
      </c>
      <c r="F47" s="305">
        <v>2170</v>
      </c>
      <c r="G47" s="305">
        <v>1875</v>
      </c>
      <c r="H47" s="305">
        <v>2060</v>
      </c>
      <c r="I47" s="305">
        <v>1679</v>
      </c>
      <c r="J47" s="305">
        <v>1890</v>
      </c>
      <c r="K47" s="305">
        <v>1971</v>
      </c>
      <c r="L47" s="305">
        <v>706</v>
      </c>
      <c r="M47" s="305">
        <f t="shared" ref="M47:N47" si="6">SUM(M48:M50)</f>
        <v>0</v>
      </c>
      <c r="N47" s="305">
        <f t="shared" si="6"/>
        <v>0</v>
      </c>
      <c r="O47" s="305">
        <f t="shared" si="5"/>
        <v>16465</v>
      </c>
      <c r="P47" s="175"/>
      <c r="Q47" s="175"/>
      <c r="R47" s="175"/>
      <c r="S47" s="175"/>
      <c r="T47" s="175"/>
      <c r="U47" s="175"/>
      <c r="V47" s="291"/>
      <c r="W47" s="175"/>
      <c r="X47" s="175"/>
      <c r="Y47" s="175"/>
      <c r="Z47" s="175"/>
      <c r="AA47" s="175"/>
      <c r="AB47" s="212"/>
      <c r="AC47" s="175"/>
      <c r="AD47" s="261"/>
      <c r="AE47" s="245"/>
      <c r="AF47" s="250"/>
      <c r="AG47" s="250"/>
      <c r="AH47" s="250"/>
      <c r="AI47" s="250"/>
      <c r="AP47" s="250"/>
      <c r="AQ47" s="250"/>
      <c r="AR47" s="250"/>
      <c r="AS47" s="250"/>
    </row>
    <row r="48" spans="1:45" s="179" customFormat="1" ht="14.45" customHeight="1" x14ac:dyDescent="0.2">
      <c r="A48" s="306"/>
      <c r="B48" s="264" t="s">
        <v>1236</v>
      </c>
      <c r="C48" s="300">
        <v>99</v>
      </c>
      <c r="D48" s="300">
        <v>130</v>
      </c>
      <c r="E48" s="300">
        <v>210</v>
      </c>
      <c r="F48" s="300">
        <v>220</v>
      </c>
      <c r="G48" s="300">
        <v>187</v>
      </c>
      <c r="H48" s="300">
        <v>181</v>
      </c>
      <c r="I48" s="300">
        <v>193</v>
      </c>
      <c r="J48" s="300">
        <v>214</v>
      </c>
      <c r="K48" s="300">
        <v>218</v>
      </c>
      <c r="L48" s="301">
        <v>65</v>
      </c>
      <c r="M48" s="301">
        <v>0</v>
      </c>
      <c r="N48" s="301">
        <v>0</v>
      </c>
      <c r="O48" s="307">
        <f t="shared" si="5"/>
        <v>1717</v>
      </c>
      <c r="P48" s="175"/>
      <c r="Q48" s="175"/>
      <c r="R48" s="175"/>
      <c r="S48" s="175"/>
      <c r="T48" s="175"/>
      <c r="U48" s="175"/>
      <c r="V48" s="296"/>
      <c r="W48" s="212"/>
      <c r="X48" s="212"/>
      <c r="Y48" s="212"/>
      <c r="Z48" s="212"/>
      <c r="AA48" s="212"/>
      <c r="AB48" s="212"/>
      <c r="AC48" s="212"/>
      <c r="AD48" s="261"/>
      <c r="AE48" s="261"/>
      <c r="AF48" s="250"/>
      <c r="AG48" s="250"/>
      <c r="AH48" s="250"/>
      <c r="AI48" s="250"/>
      <c r="AP48" s="250"/>
      <c r="AQ48" s="250"/>
      <c r="AR48" s="250"/>
      <c r="AS48" s="250"/>
    </row>
    <row r="49" spans="1:45" s="179" customFormat="1" ht="14.45" customHeight="1" x14ac:dyDescent="0.2">
      <c r="A49" s="306"/>
      <c r="B49" s="264" t="s">
        <v>1237</v>
      </c>
      <c r="C49" s="300">
        <v>282</v>
      </c>
      <c r="D49" s="300">
        <v>361</v>
      </c>
      <c r="E49" s="300">
        <v>575</v>
      </c>
      <c r="F49" s="300">
        <v>577</v>
      </c>
      <c r="G49" s="300">
        <v>451</v>
      </c>
      <c r="H49" s="300">
        <v>598</v>
      </c>
      <c r="I49" s="300">
        <v>494</v>
      </c>
      <c r="J49" s="300">
        <v>674</v>
      </c>
      <c r="K49" s="300">
        <v>755</v>
      </c>
      <c r="L49" s="301">
        <v>250</v>
      </c>
      <c r="M49" s="301">
        <v>0</v>
      </c>
      <c r="N49" s="301">
        <v>0</v>
      </c>
      <c r="O49" s="307">
        <f t="shared" si="5"/>
        <v>5017</v>
      </c>
      <c r="P49" s="175"/>
      <c r="Q49" s="175"/>
      <c r="R49" s="175"/>
      <c r="S49" s="175"/>
      <c r="T49" s="175"/>
      <c r="U49" s="212"/>
      <c r="V49" s="296"/>
      <c r="W49" s="212"/>
      <c r="X49" s="212"/>
      <c r="Y49" s="212"/>
      <c r="Z49" s="212"/>
      <c r="AA49" s="212"/>
      <c r="AB49" s="212"/>
      <c r="AC49" s="212"/>
      <c r="AD49" s="261"/>
      <c r="AE49" s="261"/>
      <c r="AF49" s="250"/>
      <c r="AG49" s="250"/>
      <c r="AH49" s="250"/>
      <c r="AI49" s="250"/>
      <c r="AL49" s="250"/>
      <c r="AM49" s="250"/>
      <c r="AN49" s="250"/>
      <c r="AO49" s="250"/>
      <c r="AP49" s="250"/>
      <c r="AQ49" s="250"/>
      <c r="AR49" s="250"/>
      <c r="AS49" s="250"/>
    </row>
    <row r="50" spans="1:45" s="179" customFormat="1" ht="14.45" customHeight="1" x14ac:dyDescent="0.2">
      <c r="A50" s="306"/>
      <c r="B50" s="264" t="s">
        <v>1239</v>
      </c>
      <c r="C50" s="300">
        <v>615</v>
      </c>
      <c r="D50" s="300">
        <v>677</v>
      </c>
      <c r="E50" s="300">
        <v>1165</v>
      </c>
      <c r="F50" s="300">
        <v>1373</v>
      </c>
      <c r="G50" s="300">
        <v>1237</v>
      </c>
      <c r="H50" s="300">
        <v>1281</v>
      </c>
      <c r="I50" s="300">
        <v>992</v>
      </c>
      <c r="J50" s="300">
        <v>1002</v>
      </c>
      <c r="K50" s="300">
        <v>998</v>
      </c>
      <c r="L50" s="301">
        <v>391</v>
      </c>
      <c r="M50" s="301">
        <v>0</v>
      </c>
      <c r="N50" s="301">
        <v>0</v>
      </c>
      <c r="O50" s="307">
        <f t="shared" si="5"/>
        <v>9731</v>
      </c>
      <c r="P50" s="175"/>
      <c r="Q50" s="175"/>
      <c r="R50" s="175"/>
      <c r="S50" s="175"/>
      <c r="T50" s="175"/>
      <c r="U50" s="175"/>
      <c r="V50" s="291"/>
      <c r="W50" s="175"/>
      <c r="X50" s="175"/>
      <c r="Y50" s="175"/>
      <c r="Z50" s="175"/>
      <c r="AA50" s="175"/>
      <c r="AB50" s="175"/>
      <c r="AC50" s="175"/>
      <c r="AD50" s="261"/>
      <c r="AE50" s="245"/>
      <c r="AF50" s="250"/>
      <c r="AG50" s="250"/>
      <c r="AH50" s="250"/>
      <c r="AI50" s="250"/>
      <c r="AP50" s="250"/>
      <c r="AQ50" s="250"/>
      <c r="AR50" s="250"/>
      <c r="AS50" s="250"/>
    </row>
    <row r="51" spans="1:45" s="179" customFormat="1" ht="14.45" customHeight="1" x14ac:dyDescent="0.2">
      <c r="A51" s="304" t="s">
        <v>1251</v>
      </c>
      <c r="B51" s="304" t="s">
        <v>1161</v>
      </c>
      <c r="C51" s="305">
        <v>119</v>
      </c>
      <c r="D51" s="305">
        <v>283</v>
      </c>
      <c r="E51" s="305">
        <v>490</v>
      </c>
      <c r="F51" s="305">
        <v>1119</v>
      </c>
      <c r="G51" s="305">
        <v>1709</v>
      </c>
      <c r="H51" s="305">
        <v>1720</v>
      </c>
      <c r="I51" s="305">
        <v>1501</v>
      </c>
      <c r="J51" s="305">
        <v>2017</v>
      </c>
      <c r="K51" s="305">
        <v>1853</v>
      </c>
      <c r="L51" s="305">
        <v>730</v>
      </c>
      <c r="M51" s="305">
        <f t="shared" ref="M51:N51" si="7">SUM(M52:M54)</f>
        <v>0</v>
      </c>
      <c r="N51" s="305">
        <f t="shared" si="7"/>
        <v>0</v>
      </c>
      <c r="O51" s="305">
        <f t="shared" si="5"/>
        <v>11541</v>
      </c>
      <c r="P51" s="175"/>
      <c r="Q51" s="175"/>
      <c r="R51" s="175"/>
      <c r="S51" s="175"/>
      <c r="T51" s="175"/>
      <c r="U51" s="175"/>
      <c r="V51" s="291"/>
      <c r="W51" s="175"/>
      <c r="X51" s="175"/>
      <c r="Y51" s="175"/>
      <c r="Z51" s="175"/>
      <c r="AA51" s="175"/>
      <c r="AB51" s="175"/>
      <c r="AC51" s="175"/>
      <c r="AD51" s="261"/>
      <c r="AE51" s="245"/>
      <c r="AF51" s="250"/>
      <c r="AG51" s="250"/>
      <c r="AH51" s="250"/>
      <c r="AI51" s="250"/>
      <c r="AP51" s="250"/>
      <c r="AQ51" s="250"/>
      <c r="AR51" s="250"/>
      <c r="AS51" s="250"/>
    </row>
    <row r="52" spans="1:45" s="179" customFormat="1" ht="14.45" customHeight="1" x14ac:dyDescent="0.2">
      <c r="A52" s="306"/>
      <c r="B52" s="264" t="s">
        <v>1236</v>
      </c>
      <c r="C52" s="300">
        <v>32</v>
      </c>
      <c r="D52" s="300">
        <v>74</v>
      </c>
      <c r="E52" s="300">
        <v>134</v>
      </c>
      <c r="F52" s="300">
        <v>228</v>
      </c>
      <c r="G52" s="300">
        <v>306</v>
      </c>
      <c r="H52" s="300">
        <v>329</v>
      </c>
      <c r="I52" s="300">
        <v>315</v>
      </c>
      <c r="J52" s="300">
        <v>407</v>
      </c>
      <c r="K52" s="300">
        <v>402</v>
      </c>
      <c r="L52" s="301">
        <v>131</v>
      </c>
      <c r="M52" s="301">
        <v>0</v>
      </c>
      <c r="N52" s="301">
        <v>0</v>
      </c>
      <c r="O52" s="307">
        <f t="shared" si="5"/>
        <v>2358</v>
      </c>
      <c r="P52" s="175"/>
      <c r="Q52" s="175"/>
      <c r="R52" s="175"/>
      <c r="S52" s="175"/>
      <c r="T52" s="175"/>
      <c r="U52" s="175"/>
      <c r="V52" s="291"/>
      <c r="W52" s="175"/>
      <c r="X52" s="175"/>
      <c r="Y52" s="175"/>
      <c r="Z52" s="175"/>
      <c r="AA52" s="175"/>
      <c r="AB52" s="175"/>
      <c r="AC52" s="175"/>
      <c r="AD52" s="261"/>
      <c r="AE52" s="245"/>
      <c r="AF52" s="250"/>
      <c r="AG52" s="250"/>
      <c r="AH52" s="250"/>
      <c r="AI52" s="250"/>
      <c r="AP52" s="250"/>
      <c r="AQ52" s="250"/>
      <c r="AR52" s="250"/>
      <c r="AS52" s="250"/>
    </row>
    <row r="53" spans="1:45" s="179" customFormat="1" ht="14.45" customHeight="1" x14ac:dyDescent="0.2">
      <c r="A53" s="306"/>
      <c r="B53" s="264" t="s">
        <v>1237</v>
      </c>
      <c r="C53" s="300">
        <v>20</v>
      </c>
      <c r="D53" s="300">
        <v>53</v>
      </c>
      <c r="E53" s="300">
        <v>79</v>
      </c>
      <c r="F53" s="300">
        <v>155</v>
      </c>
      <c r="G53" s="300">
        <v>291</v>
      </c>
      <c r="H53" s="300">
        <v>332</v>
      </c>
      <c r="I53" s="300">
        <v>343</v>
      </c>
      <c r="J53" s="300">
        <v>476</v>
      </c>
      <c r="K53" s="300">
        <v>422</v>
      </c>
      <c r="L53" s="301">
        <v>156</v>
      </c>
      <c r="M53" s="301">
        <v>0</v>
      </c>
      <c r="N53" s="301">
        <v>0</v>
      </c>
      <c r="O53" s="307">
        <f t="shared" si="5"/>
        <v>2327</v>
      </c>
      <c r="P53" s="175"/>
      <c r="Q53" s="175"/>
      <c r="R53" s="175"/>
      <c r="S53" s="175"/>
      <c r="T53" s="175"/>
      <c r="U53" s="175"/>
      <c r="V53" s="291"/>
      <c r="W53" s="175"/>
      <c r="X53" s="175"/>
      <c r="Y53" s="175"/>
      <c r="Z53" s="175"/>
      <c r="AA53" s="175"/>
      <c r="AB53" s="175"/>
      <c r="AC53" s="175"/>
      <c r="AD53" s="261"/>
      <c r="AE53" s="245"/>
      <c r="AF53" s="250"/>
      <c r="AG53" s="250"/>
      <c r="AH53" s="250"/>
      <c r="AI53" s="250"/>
      <c r="AP53" s="250"/>
      <c r="AQ53" s="250"/>
      <c r="AR53" s="250"/>
      <c r="AS53" s="250"/>
    </row>
    <row r="54" spans="1:45" s="179" customFormat="1" ht="14.45" customHeight="1" x14ac:dyDescent="0.2">
      <c r="A54" s="306"/>
      <c r="B54" s="264" t="s">
        <v>1239</v>
      </c>
      <c r="C54" s="300">
        <v>67</v>
      </c>
      <c r="D54" s="300">
        <v>156</v>
      </c>
      <c r="E54" s="300">
        <v>277</v>
      </c>
      <c r="F54" s="300">
        <v>736</v>
      </c>
      <c r="G54" s="300">
        <v>1112</v>
      </c>
      <c r="H54" s="300">
        <v>1059</v>
      </c>
      <c r="I54" s="300">
        <v>843</v>
      </c>
      <c r="J54" s="300">
        <v>1134</v>
      </c>
      <c r="K54" s="300">
        <v>1029</v>
      </c>
      <c r="L54" s="301">
        <v>443</v>
      </c>
      <c r="M54" s="301">
        <v>0</v>
      </c>
      <c r="N54" s="301">
        <v>0</v>
      </c>
      <c r="O54" s="307">
        <f t="shared" si="5"/>
        <v>6856</v>
      </c>
      <c r="P54" s="175"/>
      <c r="Q54" s="175"/>
      <c r="R54" s="175"/>
      <c r="S54" s="175"/>
      <c r="T54" s="175"/>
      <c r="U54" s="175"/>
      <c r="V54" s="291"/>
      <c r="W54" s="175"/>
      <c r="X54" s="175"/>
      <c r="Y54" s="175"/>
      <c r="Z54" s="175"/>
      <c r="AA54" s="175"/>
      <c r="AB54" s="175"/>
      <c r="AC54" s="175"/>
      <c r="AD54" s="261"/>
      <c r="AE54" s="245"/>
      <c r="AF54" s="250"/>
      <c r="AG54" s="250"/>
      <c r="AH54" s="250"/>
      <c r="AI54" s="250"/>
      <c r="AP54" s="250"/>
      <c r="AQ54" s="250"/>
      <c r="AR54" s="250"/>
      <c r="AS54" s="250"/>
    </row>
    <row r="55" spans="1:45" s="179" customFormat="1" ht="14.45" customHeight="1" x14ac:dyDescent="0.2">
      <c r="A55" s="304" t="s">
        <v>1071</v>
      </c>
      <c r="B55" s="304" t="s">
        <v>1161</v>
      </c>
      <c r="C55" s="305">
        <v>219</v>
      </c>
      <c r="D55" s="305">
        <v>173</v>
      </c>
      <c r="E55" s="305">
        <v>309</v>
      </c>
      <c r="F55" s="305">
        <v>495</v>
      </c>
      <c r="G55" s="305">
        <v>688</v>
      </c>
      <c r="H55" s="305">
        <v>975</v>
      </c>
      <c r="I55" s="305">
        <v>1111</v>
      </c>
      <c r="J55" s="305">
        <v>802</v>
      </c>
      <c r="K55" s="305">
        <v>805</v>
      </c>
      <c r="L55" s="305">
        <v>280</v>
      </c>
      <c r="M55" s="305">
        <f t="shared" ref="M55:N55" si="8">SUM(M56:M58)</f>
        <v>0</v>
      </c>
      <c r="N55" s="305">
        <f t="shared" si="8"/>
        <v>0</v>
      </c>
      <c r="O55" s="305">
        <f t="shared" si="5"/>
        <v>5857</v>
      </c>
      <c r="P55" s="175"/>
      <c r="Q55" s="175"/>
      <c r="R55" s="175"/>
      <c r="S55" s="175"/>
      <c r="T55" s="175"/>
      <c r="U55" s="212"/>
      <c r="V55" s="296"/>
      <c r="W55" s="212"/>
      <c r="X55" s="212"/>
      <c r="Y55" s="212"/>
      <c r="Z55" s="212"/>
      <c r="AA55" s="212"/>
      <c r="AB55" s="212"/>
      <c r="AC55" s="212"/>
      <c r="AD55" s="261"/>
      <c r="AE55" s="261"/>
      <c r="AF55" s="250"/>
      <c r="AG55" s="250"/>
      <c r="AH55" s="250"/>
      <c r="AI55" s="250"/>
      <c r="AP55" s="250"/>
      <c r="AQ55" s="250"/>
      <c r="AR55" s="250"/>
      <c r="AS55" s="250"/>
    </row>
    <row r="56" spans="1:45" s="179" customFormat="1" ht="14.45" customHeight="1" x14ac:dyDescent="0.2">
      <c r="A56" s="264"/>
      <c r="B56" s="264" t="s">
        <v>1236</v>
      </c>
      <c r="C56" s="300">
        <v>20</v>
      </c>
      <c r="D56" s="300">
        <v>27</v>
      </c>
      <c r="E56" s="300">
        <v>33</v>
      </c>
      <c r="F56" s="300">
        <v>34</v>
      </c>
      <c r="G56" s="300">
        <v>53</v>
      </c>
      <c r="H56" s="300">
        <v>78</v>
      </c>
      <c r="I56" s="300">
        <v>115</v>
      </c>
      <c r="J56" s="300">
        <v>73</v>
      </c>
      <c r="K56" s="300">
        <v>73</v>
      </c>
      <c r="L56" s="301">
        <v>25</v>
      </c>
      <c r="M56" s="301">
        <v>0</v>
      </c>
      <c r="N56" s="301">
        <v>0</v>
      </c>
      <c r="O56" s="307">
        <f t="shared" si="5"/>
        <v>531</v>
      </c>
      <c r="P56" s="175"/>
      <c r="Q56" s="175"/>
      <c r="R56" s="175"/>
      <c r="S56" s="175"/>
      <c r="T56" s="175"/>
      <c r="U56" s="175"/>
      <c r="V56" s="291"/>
      <c r="W56" s="175"/>
      <c r="X56" s="212"/>
      <c r="Y56" s="212"/>
      <c r="Z56" s="212"/>
      <c r="AA56" s="212"/>
      <c r="AB56" s="212"/>
      <c r="AC56" s="212"/>
      <c r="AD56" s="261"/>
      <c r="AE56" s="261"/>
      <c r="AF56" s="250"/>
      <c r="AG56" s="250"/>
      <c r="AH56" s="250"/>
      <c r="AI56" s="250"/>
      <c r="AO56" s="250"/>
      <c r="AP56" s="250"/>
      <c r="AQ56" s="250"/>
      <c r="AR56" s="250"/>
      <c r="AS56" s="250"/>
    </row>
    <row r="57" spans="1:45" s="179" customFormat="1" ht="14.45" customHeight="1" x14ac:dyDescent="0.2">
      <c r="A57" s="264"/>
      <c r="B57" s="264" t="s">
        <v>1237</v>
      </c>
      <c r="C57" s="300">
        <v>47</v>
      </c>
      <c r="D57" s="300">
        <v>39</v>
      </c>
      <c r="E57" s="300">
        <v>45</v>
      </c>
      <c r="F57" s="300">
        <v>89</v>
      </c>
      <c r="G57" s="300">
        <v>121</v>
      </c>
      <c r="H57" s="300">
        <v>208</v>
      </c>
      <c r="I57" s="300">
        <v>260</v>
      </c>
      <c r="J57" s="300">
        <v>200</v>
      </c>
      <c r="K57" s="300">
        <v>193</v>
      </c>
      <c r="L57" s="301">
        <v>53</v>
      </c>
      <c r="M57" s="301">
        <v>0</v>
      </c>
      <c r="N57" s="301">
        <v>0</v>
      </c>
      <c r="O57" s="307">
        <f t="shared" si="5"/>
        <v>1255</v>
      </c>
      <c r="P57" s="175"/>
      <c r="Q57" s="175"/>
      <c r="R57" s="175"/>
      <c r="S57" s="175"/>
      <c r="T57" s="175"/>
      <c r="U57" s="175"/>
      <c r="V57" s="291"/>
      <c r="W57" s="175"/>
      <c r="X57" s="175"/>
      <c r="Y57" s="212"/>
      <c r="Z57" s="212"/>
      <c r="AA57" s="212"/>
      <c r="AB57" s="212"/>
      <c r="AC57" s="175"/>
      <c r="AD57" s="261"/>
      <c r="AE57" s="245"/>
      <c r="AF57" s="250"/>
      <c r="AG57" s="250"/>
      <c r="AH57" s="250"/>
      <c r="AI57" s="250"/>
      <c r="AP57" s="250"/>
      <c r="AQ57" s="250"/>
      <c r="AR57" s="250"/>
      <c r="AS57" s="250"/>
    </row>
    <row r="58" spans="1:45" s="179" customFormat="1" ht="14.45" customHeight="1" x14ac:dyDescent="0.2">
      <c r="A58" s="264"/>
      <c r="B58" s="264" t="s">
        <v>1239</v>
      </c>
      <c r="C58" s="300">
        <v>152</v>
      </c>
      <c r="D58" s="300">
        <v>107</v>
      </c>
      <c r="E58" s="300">
        <v>231</v>
      </c>
      <c r="F58" s="300">
        <v>372</v>
      </c>
      <c r="G58" s="300">
        <v>514</v>
      </c>
      <c r="H58" s="300">
        <v>689</v>
      </c>
      <c r="I58" s="300">
        <v>736</v>
      </c>
      <c r="J58" s="300">
        <v>529</v>
      </c>
      <c r="K58" s="300">
        <v>539</v>
      </c>
      <c r="L58" s="301">
        <v>202</v>
      </c>
      <c r="M58" s="301">
        <v>0</v>
      </c>
      <c r="N58" s="301">
        <v>0</v>
      </c>
      <c r="O58" s="307">
        <f t="shared" si="5"/>
        <v>4071</v>
      </c>
      <c r="P58" s="175"/>
      <c r="Q58" s="175"/>
      <c r="R58" s="175"/>
      <c r="S58" s="175"/>
      <c r="T58" s="175"/>
      <c r="U58" s="175"/>
      <c r="V58" s="291"/>
      <c r="W58" s="175"/>
      <c r="X58" s="212"/>
      <c r="Y58" s="212"/>
      <c r="Z58" s="212"/>
      <c r="AA58" s="212"/>
      <c r="AB58" s="212"/>
      <c r="AC58" s="212"/>
      <c r="AD58" s="261"/>
      <c r="AE58" s="261"/>
      <c r="AF58" s="250"/>
      <c r="AG58" s="250"/>
      <c r="AH58" s="250"/>
      <c r="AI58" s="250"/>
      <c r="AP58" s="250"/>
      <c r="AQ58" s="250"/>
      <c r="AR58" s="250"/>
      <c r="AS58" s="250"/>
    </row>
    <row r="59" spans="1:45" s="179" customFormat="1" ht="14.45" customHeight="1" x14ac:dyDescent="0.2">
      <c r="A59" s="304" t="s">
        <v>1075</v>
      </c>
      <c r="B59" s="304" t="s">
        <v>1161</v>
      </c>
      <c r="C59" s="305">
        <v>101</v>
      </c>
      <c r="D59" s="305">
        <v>92</v>
      </c>
      <c r="E59" s="305">
        <v>111</v>
      </c>
      <c r="F59" s="305">
        <v>139</v>
      </c>
      <c r="G59" s="305">
        <v>134</v>
      </c>
      <c r="H59" s="305">
        <v>245</v>
      </c>
      <c r="I59" s="305">
        <v>348</v>
      </c>
      <c r="J59" s="305">
        <v>301</v>
      </c>
      <c r="K59" s="305">
        <v>335</v>
      </c>
      <c r="L59" s="305">
        <v>117</v>
      </c>
      <c r="M59" s="305">
        <f t="shared" ref="M59:N59" si="9">SUM(M60:M62)</f>
        <v>0</v>
      </c>
      <c r="N59" s="305">
        <f t="shared" si="9"/>
        <v>0</v>
      </c>
      <c r="O59" s="305">
        <f t="shared" si="5"/>
        <v>1923</v>
      </c>
      <c r="P59" s="175"/>
      <c r="Q59" s="175"/>
      <c r="R59" s="175"/>
      <c r="S59" s="175"/>
      <c r="T59" s="175"/>
      <c r="U59" s="175"/>
      <c r="V59" s="291"/>
      <c r="W59" s="175"/>
      <c r="X59" s="175"/>
      <c r="Y59" s="212"/>
      <c r="Z59" s="212"/>
      <c r="AA59" s="175"/>
      <c r="AB59" s="212"/>
      <c r="AC59" s="175"/>
      <c r="AD59" s="245"/>
      <c r="AE59" s="245"/>
      <c r="AF59" s="250"/>
      <c r="AG59" s="250"/>
      <c r="AH59" s="250"/>
      <c r="AI59" s="250"/>
      <c r="AP59" s="250"/>
      <c r="AQ59" s="250"/>
      <c r="AR59" s="250"/>
      <c r="AS59" s="250"/>
    </row>
    <row r="60" spans="1:45" s="179" customFormat="1" ht="14.45" customHeight="1" x14ac:dyDescent="0.2">
      <c r="A60" s="264"/>
      <c r="B60" s="264" t="s">
        <v>1236</v>
      </c>
      <c r="C60" s="300">
        <v>33</v>
      </c>
      <c r="D60" s="300">
        <v>47</v>
      </c>
      <c r="E60" s="300">
        <v>63</v>
      </c>
      <c r="F60" s="300">
        <v>67</v>
      </c>
      <c r="G60" s="300">
        <v>63</v>
      </c>
      <c r="H60" s="300">
        <v>121</v>
      </c>
      <c r="I60" s="300">
        <v>151</v>
      </c>
      <c r="J60" s="300">
        <v>166</v>
      </c>
      <c r="K60" s="300">
        <v>129</v>
      </c>
      <c r="L60" s="301">
        <v>44</v>
      </c>
      <c r="M60" s="301">
        <v>0</v>
      </c>
      <c r="N60" s="301">
        <v>0</v>
      </c>
      <c r="O60" s="307">
        <f t="shared" si="5"/>
        <v>884</v>
      </c>
      <c r="P60" s="175"/>
      <c r="Q60" s="175"/>
      <c r="R60" s="175"/>
      <c r="S60" s="175"/>
      <c r="T60" s="175"/>
      <c r="U60" s="175"/>
      <c r="V60" s="291"/>
      <c r="W60" s="175"/>
      <c r="X60" s="175"/>
      <c r="Y60" s="175"/>
      <c r="Z60" s="212"/>
      <c r="AA60" s="212"/>
      <c r="AB60" s="212"/>
      <c r="AC60" s="212"/>
      <c r="AD60" s="261"/>
      <c r="AE60" s="261"/>
      <c r="AF60" s="250"/>
      <c r="AG60" s="250"/>
      <c r="AH60" s="250"/>
      <c r="AP60" s="250"/>
      <c r="AQ60" s="250"/>
      <c r="AR60" s="250"/>
      <c r="AS60" s="250"/>
    </row>
    <row r="61" spans="1:45" s="179" customFormat="1" ht="14.45" customHeight="1" x14ac:dyDescent="0.2">
      <c r="A61" s="264"/>
      <c r="B61" s="264" t="s">
        <v>1237</v>
      </c>
      <c r="C61" s="300">
        <v>18</v>
      </c>
      <c r="D61" s="300">
        <v>13</v>
      </c>
      <c r="E61" s="300">
        <v>13</v>
      </c>
      <c r="F61" s="300">
        <v>18</v>
      </c>
      <c r="G61" s="300">
        <v>25</v>
      </c>
      <c r="H61" s="300">
        <v>33</v>
      </c>
      <c r="I61" s="300">
        <v>55</v>
      </c>
      <c r="J61" s="300">
        <v>34</v>
      </c>
      <c r="K61" s="300">
        <v>59</v>
      </c>
      <c r="L61" s="301">
        <v>27</v>
      </c>
      <c r="M61" s="301">
        <v>0</v>
      </c>
      <c r="N61" s="301">
        <v>0</v>
      </c>
      <c r="O61" s="307">
        <f t="shared" si="5"/>
        <v>295</v>
      </c>
      <c r="P61" s="175"/>
      <c r="Q61" s="175"/>
      <c r="R61" s="175"/>
      <c r="S61" s="175"/>
      <c r="T61" s="175"/>
      <c r="U61" s="175"/>
      <c r="V61" s="296"/>
      <c r="W61" s="212"/>
      <c r="X61" s="212"/>
      <c r="Y61" s="212"/>
      <c r="Z61" s="212"/>
      <c r="AA61" s="212"/>
      <c r="AB61" s="212"/>
      <c r="AC61" s="212"/>
      <c r="AD61" s="261"/>
      <c r="AE61" s="261"/>
      <c r="AF61" s="250"/>
      <c r="AG61" s="250"/>
      <c r="AH61" s="250"/>
      <c r="AI61" s="250"/>
      <c r="AP61" s="250"/>
      <c r="AQ61" s="250"/>
      <c r="AR61" s="250"/>
      <c r="AS61" s="250"/>
    </row>
    <row r="62" spans="1:45" s="179" customFormat="1" ht="14.45" customHeight="1" x14ac:dyDescent="0.2">
      <c r="A62" s="264"/>
      <c r="B62" s="264" t="s">
        <v>1239</v>
      </c>
      <c r="C62" s="300">
        <v>50</v>
      </c>
      <c r="D62" s="300">
        <v>32</v>
      </c>
      <c r="E62" s="300">
        <v>35</v>
      </c>
      <c r="F62" s="300">
        <v>54</v>
      </c>
      <c r="G62" s="300">
        <v>46</v>
      </c>
      <c r="H62" s="300">
        <v>91</v>
      </c>
      <c r="I62" s="300">
        <v>142</v>
      </c>
      <c r="J62" s="300">
        <v>101</v>
      </c>
      <c r="K62" s="300">
        <v>147</v>
      </c>
      <c r="L62" s="301">
        <v>46</v>
      </c>
      <c r="M62" s="301">
        <v>0</v>
      </c>
      <c r="N62" s="301">
        <v>0</v>
      </c>
      <c r="O62" s="307">
        <f t="shared" si="5"/>
        <v>744</v>
      </c>
      <c r="P62" s="175"/>
      <c r="Q62" s="175"/>
      <c r="R62" s="175"/>
      <c r="S62" s="175"/>
      <c r="T62" s="175"/>
      <c r="U62" s="175"/>
      <c r="V62" s="296"/>
      <c r="W62" s="212"/>
      <c r="X62" s="212"/>
      <c r="Y62" s="212"/>
      <c r="Z62" s="212"/>
      <c r="AA62" s="212"/>
      <c r="AB62" s="212"/>
      <c r="AC62" s="175"/>
      <c r="AD62" s="245"/>
      <c r="AE62" s="245"/>
      <c r="AF62" s="250"/>
      <c r="AG62" s="250"/>
      <c r="AI62" s="250"/>
      <c r="AP62" s="250"/>
      <c r="AQ62" s="250"/>
      <c r="AR62" s="250"/>
      <c r="AS62" s="250"/>
    </row>
    <row r="63" spans="1:45" s="179" customFormat="1" ht="14.45" customHeight="1" x14ac:dyDescent="0.2">
      <c r="A63" s="304" t="s">
        <v>1252</v>
      </c>
      <c r="B63" s="304" t="s">
        <v>1161</v>
      </c>
      <c r="C63" s="305">
        <v>127</v>
      </c>
      <c r="D63" s="305">
        <v>55</v>
      </c>
      <c r="E63" s="305">
        <v>59</v>
      </c>
      <c r="F63" s="305">
        <v>291</v>
      </c>
      <c r="G63" s="305">
        <v>311</v>
      </c>
      <c r="H63" s="305">
        <v>155</v>
      </c>
      <c r="I63" s="305">
        <v>112</v>
      </c>
      <c r="J63" s="305">
        <v>157</v>
      </c>
      <c r="K63" s="305">
        <v>243</v>
      </c>
      <c r="L63" s="305">
        <v>57</v>
      </c>
      <c r="M63" s="305">
        <f t="shared" ref="M63:N63" si="10">SUM(M64:M66)</f>
        <v>0</v>
      </c>
      <c r="N63" s="305">
        <f t="shared" si="10"/>
        <v>0</v>
      </c>
      <c r="O63" s="305">
        <f t="shared" si="5"/>
        <v>1567</v>
      </c>
      <c r="P63" s="175"/>
      <c r="Q63" s="175"/>
      <c r="R63" s="175"/>
      <c r="S63" s="175"/>
      <c r="T63" s="175"/>
      <c r="U63" s="175"/>
      <c r="V63" s="291"/>
      <c r="W63" s="175"/>
      <c r="X63" s="175"/>
      <c r="Y63" s="212"/>
      <c r="Z63" s="212"/>
      <c r="AA63" s="212"/>
      <c r="AB63" s="212"/>
      <c r="AC63" s="212"/>
      <c r="AD63" s="261"/>
      <c r="AE63" s="261"/>
      <c r="AF63" s="250"/>
      <c r="AG63" s="250"/>
      <c r="AH63" s="250"/>
      <c r="AI63" s="250"/>
      <c r="AP63" s="250"/>
      <c r="AQ63" s="250"/>
      <c r="AR63" s="250"/>
      <c r="AS63" s="250"/>
    </row>
    <row r="64" spans="1:45" s="179" customFormat="1" ht="14.45" customHeight="1" x14ac:dyDescent="0.2">
      <c r="A64" s="264"/>
      <c r="B64" s="264" t="s">
        <v>1236</v>
      </c>
      <c r="C64" s="300">
        <v>3</v>
      </c>
      <c r="D64" s="300">
        <v>10</v>
      </c>
      <c r="E64" s="300">
        <v>8</v>
      </c>
      <c r="F64" s="300">
        <v>2</v>
      </c>
      <c r="G64" s="300">
        <v>12</v>
      </c>
      <c r="H64" s="300">
        <v>6</v>
      </c>
      <c r="I64" s="300">
        <v>8</v>
      </c>
      <c r="J64" s="300">
        <v>14</v>
      </c>
      <c r="K64" s="300">
        <v>11</v>
      </c>
      <c r="L64" s="301">
        <v>4</v>
      </c>
      <c r="M64" s="301">
        <v>0</v>
      </c>
      <c r="N64" s="301">
        <v>0</v>
      </c>
      <c r="O64" s="307">
        <f t="shared" si="5"/>
        <v>78</v>
      </c>
      <c r="P64" s="175"/>
      <c r="Q64" s="175"/>
      <c r="R64" s="175"/>
      <c r="S64" s="175"/>
      <c r="T64" s="175"/>
      <c r="U64" s="175"/>
      <c r="V64" s="291"/>
      <c r="W64" s="175"/>
      <c r="X64" s="175"/>
      <c r="Y64" s="212"/>
      <c r="Z64" s="212"/>
      <c r="AA64" s="212"/>
      <c r="AB64" s="212"/>
      <c r="AC64" s="212"/>
      <c r="AD64" s="261"/>
      <c r="AE64" s="261"/>
      <c r="AF64" s="250"/>
      <c r="AG64" s="250"/>
      <c r="AH64" s="250"/>
      <c r="AP64" s="250"/>
      <c r="AQ64" s="250"/>
      <c r="AR64" s="250"/>
      <c r="AS64" s="250"/>
    </row>
    <row r="65" spans="1:45" s="179" customFormat="1" ht="14.45" customHeight="1" x14ac:dyDescent="0.2">
      <c r="A65" s="264"/>
      <c r="B65" s="264" t="s">
        <v>1237</v>
      </c>
      <c r="C65" s="300">
        <v>11</v>
      </c>
      <c r="D65" s="300">
        <v>13</v>
      </c>
      <c r="E65" s="300">
        <v>21</v>
      </c>
      <c r="F65" s="300">
        <v>22</v>
      </c>
      <c r="G65" s="300">
        <v>15</v>
      </c>
      <c r="H65" s="300">
        <v>17</v>
      </c>
      <c r="I65" s="300">
        <v>14</v>
      </c>
      <c r="J65" s="300">
        <v>16</v>
      </c>
      <c r="K65" s="300">
        <v>24</v>
      </c>
      <c r="L65" s="301">
        <v>6</v>
      </c>
      <c r="M65" s="301">
        <v>0</v>
      </c>
      <c r="N65" s="301">
        <v>0</v>
      </c>
      <c r="O65" s="307">
        <f t="shared" si="5"/>
        <v>159</v>
      </c>
      <c r="P65" s="175"/>
      <c r="Q65" s="175"/>
      <c r="R65" s="175"/>
      <c r="S65" s="175"/>
      <c r="T65" s="175"/>
      <c r="U65" s="175"/>
      <c r="V65" s="291"/>
      <c r="W65" s="175"/>
      <c r="X65" s="175"/>
      <c r="Y65" s="212"/>
      <c r="Z65" s="212"/>
      <c r="AA65" s="212"/>
      <c r="AB65" s="212"/>
      <c r="AC65" s="212"/>
      <c r="AD65" s="261"/>
      <c r="AE65" s="261"/>
      <c r="AF65" s="250"/>
      <c r="AG65" s="250"/>
      <c r="AH65" s="250"/>
      <c r="AK65" s="250"/>
      <c r="AL65" s="250"/>
      <c r="AM65" s="250"/>
      <c r="AN65" s="250"/>
      <c r="AO65" s="250"/>
      <c r="AP65" s="250"/>
      <c r="AQ65" s="250"/>
      <c r="AR65" s="250"/>
      <c r="AS65" s="250"/>
    </row>
    <row r="66" spans="1:45" s="179" customFormat="1" ht="14.45" customHeight="1" x14ac:dyDescent="0.2">
      <c r="A66" s="264"/>
      <c r="B66" s="264" t="s">
        <v>1239</v>
      </c>
      <c r="C66" s="300">
        <v>113</v>
      </c>
      <c r="D66" s="300">
        <v>32</v>
      </c>
      <c r="E66" s="300">
        <v>30</v>
      </c>
      <c r="F66" s="300">
        <v>267</v>
      </c>
      <c r="G66" s="300">
        <v>284</v>
      </c>
      <c r="H66" s="300">
        <v>132</v>
      </c>
      <c r="I66" s="300">
        <v>90</v>
      </c>
      <c r="J66" s="300">
        <v>127</v>
      </c>
      <c r="K66" s="300">
        <v>208</v>
      </c>
      <c r="L66" s="301">
        <v>47</v>
      </c>
      <c r="M66" s="301">
        <v>0</v>
      </c>
      <c r="N66" s="301">
        <v>0</v>
      </c>
      <c r="O66" s="307">
        <f t="shared" si="5"/>
        <v>1330</v>
      </c>
      <c r="P66" s="175"/>
      <c r="Q66" s="175"/>
      <c r="R66" s="175"/>
      <c r="S66" s="175"/>
      <c r="T66" s="175"/>
      <c r="U66" s="175"/>
      <c r="V66" s="291"/>
      <c r="W66" s="175"/>
      <c r="X66" s="175"/>
      <c r="Y66" s="212"/>
      <c r="Z66" s="212"/>
      <c r="AA66" s="212"/>
      <c r="AB66" s="212"/>
      <c r="AC66" s="212"/>
      <c r="AD66" s="261"/>
      <c r="AE66" s="261"/>
      <c r="AF66" s="250"/>
      <c r="AG66" s="250"/>
      <c r="AI66" s="250"/>
      <c r="AP66" s="250"/>
      <c r="AQ66" s="250"/>
      <c r="AR66" s="250"/>
      <c r="AS66" s="250"/>
    </row>
    <row r="67" spans="1:45" s="179" customFormat="1" ht="14.45" customHeight="1" x14ac:dyDescent="0.2">
      <c r="A67" s="304" t="s">
        <v>1253</v>
      </c>
      <c r="B67" s="304" t="s">
        <v>1161</v>
      </c>
      <c r="C67" s="305">
        <v>179</v>
      </c>
      <c r="D67" s="305">
        <v>156</v>
      </c>
      <c r="E67" s="305">
        <v>193</v>
      </c>
      <c r="F67" s="305">
        <v>230</v>
      </c>
      <c r="G67" s="305">
        <v>194</v>
      </c>
      <c r="H67" s="305">
        <v>187</v>
      </c>
      <c r="I67" s="305">
        <v>160</v>
      </c>
      <c r="J67" s="305">
        <v>139</v>
      </c>
      <c r="K67" s="305">
        <v>158</v>
      </c>
      <c r="L67" s="305">
        <v>55</v>
      </c>
      <c r="M67" s="305">
        <f t="shared" ref="M67:N67" si="11">SUM(M68:M70)</f>
        <v>0</v>
      </c>
      <c r="N67" s="305">
        <f t="shared" si="11"/>
        <v>0</v>
      </c>
      <c r="O67" s="305">
        <f t="shared" si="5"/>
        <v>1651</v>
      </c>
      <c r="P67" s="175"/>
      <c r="Q67" s="175"/>
      <c r="R67" s="175"/>
      <c r="S67" s="175"/>
      <c r="T67" s="175"/>
      <c r="U67" s="175"/>
      <c r="V67" s="291"/>
      <c r="W67" s="175"/>
      <c r="X67" s="175"/>
      <c r="Y67" s="212"/>
      <c r="Z67" s="212"/>
      <c r="AA67" s="212"/>
      <c r="AB67" s="212"/>
      <c r="AC67" s="212"/>
      <c r="AD67" s="261"/>
      <c r="AE67" s="261"/>
      <c r="AF67" s="250"/>
      <c r="AG67" s="250"/>
      <c r="AI67" s="250"/>
      <c r="AP67" s="250"/>
      <c r="AQ67" s="250"/>
      <c r="AR67" s="250"/>
      <c r="AS67" s="250"/>
    </row>
    <row r="68" spans="1:45" s="179" customFormat="1" ht="14.45" customHeight="1" x14ac:dyDescent="0.2">
      <c r="A68" s="264"/>
      <c r="B68" s="264" t="s">
        <v>1236</v>
      </c>
      <c r="C68" s="300">
        <v>55</v>
      </c>
      <c r="D68" s="300">
        <v>33</v>
      </c>
      <c r="E68" s="300">
        <v>51</v>
      </c>
      <c r="F68" s="300">
        <v>49</v>
      </c>
      <c r="G68" s="300">
        <v>50</v>
      </c>
      <c r="H68" s="300">
        <v>45</v>
      </c>
      <c r="I68" s="300">
        <v>49</v>
      </c>
      <c r="J68" s="300">
        <v>42</v>
      </c>
      <c r="K68" s="300">
        <v>45</v>
      </c>
      <c r="L68" s="301">
        <v>18</v>
      </c>
      <c r="M68" s="301">
        <v>0</v>
      </c>
      <c r="N68" s="301">
        <v>0</v>
      </c>
      <c r="O68" s="307">
        <f t="shared" si="5"/>
        <v>437</v>
      </c>
      <c r="P68" s="175"/>
      <c r="Q68" s="175"/>
      <c r="R68" s="175"/>
      <c r="S68" s="175"/>
      <c r="T68" s="175"/>
      <c r="U68" s="175"/>
      <c r="V68" s="291"/>
      <c r="W68" s="175"/>
      <c r="X68" s="175"/>
      <c r="Y68" s="212"/>
      <c r="Z68" s="212"/>
      <c r="AA68" s="212"/>
      <c r="AB68" s="212"/>
      <c r="AC68" s="212"/>
      <c r="AD68" s="261"/>
      <c r="AE68" s="261"/>
      <c r="AF68" s="250"/>
      <c r="AG68" s="250"/>
      <c r="AI68" s="250"/>
      <c r="AP68" s="250"/>
      <c r="AQ68" s="250"/>
      <c r="AR68" s="250"/>
      <c r="AS68" s="250"/>
    </row>
    <row r="69" spans="1:45" s="179" customFormat="1" ht="14.45" customHeight="1" x14ac:dyDescent="0.2">
      <c r="A69" s="264"/>
      <c r="B69" s="264" t="s">
        <v>1237</v>
      </c>
      <c r="C69" s="300">
        <v>32</v>
      </c>
      <c r="D69" s="300">
        <v>37</v>
      </c>
      <c r="E69" s="300">
        <v>45</v>
      </c>
      <c r="F69" s="300">
        <v>48</v>
      </c>
      <c r="G69" s="300">
        <v>46</v>
      </c>
      <c r="H69" s="300">
        <v>55</v>
      </c>
      <c r="I69" s="300">
        <v>53</v>
      </c>
      <c r="J69" s="300">
        <v>49</v>
      </c>
      <c r="K69" s="300">
        <v>51</v>
      </c>
      <c r="L69" s="301">
        <v>21</v>
      </c>
      <c r="M69" s="301">
        <v>0</v>
      </c>
      <c r="N69" s="301">
        <v>0</v>
      </c>
      <c r="O69" s="307">
        <f t="shared" si="5"/>
        <v>437</v>
      </c>
      <c r="P69" s="175"/>
      <c r="Q69" s="175"/>
      <c r="R69" s="175"/>
      <c r="S69" s="175"/>
      <c r="T69" s="175"/>
      <c r="U69" s="175"/>
      <c r="V69" s="291"/>
      <c r="W69" s="175"/>
      <c r="X69" s="175"/>
      <c r="Y69" s="212"/>
      <c r="Z69" s="212"/>
      <c r="AA69" s="212"/>
      <c r="AB69" s="212"/>
      <c r="AC69" s="212"/>
      <c r="AD69" s="261"/>
      <c r="AE69" s="261"/>
      <c r="AF69" s="250"/>
      <c r="AG69" s="250"/>
      <c r="AI69" s="250"/>
      <c r="AP69" s="250"/>
      <c r="AQ69" s="250"/>
      <c r="AR69" s="250"/>
      <c r="AS69" s="250"/>
    </row>
    <row r="70" spans="1:45" s="179" customFormat="1" ht="14.45" customHeight="1" x14ac:dyDescent="0.2">
      <c r="A70" s="264"/>
      <c r="B70" s="264" t="s">
        <v>1239</v>
      </c>
      <c r="C70" s="300">
        <v>92</v>
      </c>
      <c r="D70" s="300">
        <v>86</v>
      </c>
      <c r="E70" s="300">
        <v>97</v>
      </c>
      <c r="F70" s="300">
        <v>133</v>
      </c>
      <c r="G70" s="300">
        <v>98</v>
      </c>
      <c r="H70" s="300">
        <v>87</v>
      </c>
      <c r="I70" s="300">
        <v>58</v>
      </c>
      <c r="J70" s="300">
        <v>48</v>
      </c>
      <c r="K70" s="300">
        <v>62</v>
      </c>
      <c r="L70" s="301">
        <v>16</v>
      </c>
      <c r="M70" s="301">
        <v>0</v>
      </c>
      <c r="N70" s="301">
        <v>0</v>
      </c>
      <c r="O70" s="307">
        <f t="shared" si="5"/>
        <v>777</v>
      </c>
      <c r="P70" s="175"/>
      <c r="Q70" s="175"/>
      <c r="R70" s="175"/>
      <c r="S70" s="175"/>
      <c r="T70" s="175"/>
      <c r="U70" s="175"/>
      <c r="V70" s="291"/>
      <c r="W70" s="175"/>
      <c r="X70" s="175"/>
      <c r="Y70" s="212"/>
      <c r="Z70" s="212"/>
      <c r="AA70" s="212"/>
      <c r="AB70" s="212"/>
      <c r="AC70" s="212"/>
      <c r="AD70" s="261"/>
      <c r="AE70" s="261"/>
      <c r="AF70" s="250"/>
      <c r="AG70" s="250"/>
      <c r="AI70" s="250"/>
      <c r="AP70" s="250"/>
      <c r="AQ70" s="250"/>
      <c r="AR70" s="250"/>
      <c r="AS70" s="250"/>
    </row>
    <row r="71" spans="1:45" s="179" customFormat="1" ht="14.45" customHeight="1" x14ac:dyDescent="0.2">
      <c r="A71" s="304" t="s">
        <v>1254</v>
      </c>
      <c r="B71" s="304" t="s">
        <v>1161</v>
      </c>
      <c r="C71" s="305">
        <v>34117</v>
      </c>
      <c r="D71" s="305">
        <v>32896</v>
      </c>
      <c r="E71" s="305">
        <v>34077</v>
      </c>
      <c r="F71" s="305">
        <v>31617</v>
      </c>
      <c r="G71" s="305">
        <v>30353</v>
      </c>
      <c r="H71" s="305">
        <v>30112</v>
      </c>
      <c r="I71" s="305">
        <v>27589</v>
      </c>
      <c r="J71" s="305">
        <v>29597</v>
      </c>
      <c r="K71" s="305">
        <v>27679</v>
      </c>
      <c r="L71" s="305">
        <v>12251</v>
      </c>
      <c r="M71" s="305">
        <f t="shared" ref="M71:N71" si="12">SUM(M72:M74)</f>
        <v>0</v>
      </c>
      <c r="N71" s="305">
        <f t="shared" si="12"/>
        <v>0</v>
      </c>
      <c r="O71" s="305">
        <f t="shared" si="5"/>
        <v>290288</v>
      </c>
      <c r="P71" s="175"/>
      <c r="Q71" s="175"/>
      <c r="R71" s="175"/>
      <c r="S71" s="175"/>
      <c r="T71" s="175"/>
      <c r="U71" s="175"/>
      <c r="V71" s="291"/>
      <c r="W71" s="175"/>
      <c r="X71" s="175"/>
      <c r="Y71" s="212"/>
      <c r="Z71" s="212"/>
      <c r="AA71" s="212"/>
      <c r="AB71" s="212"/>
      <c r="AC71" s="212"/>
      <c r="AD71" s="261"/>
      <c r="AE71" s="261"/>
      <c r="AF71" s="250"/>
      <c r="AG71" s="250"/>
      <c r="AI71" s="250"/>
      <c r="AP71" s="250"/>
      <c r="AQ71" s="250"/>
      <c r="AR71" s="250"/>
      <c r="AS71" s="250"/>
    </row>
    <row r="72" spans="1:45" s="179" customFormat="1" ht="14.45" customHeight="1" x14ac:dyDescent="0.2">
      <c r="A72" s="264"/>
      <c r="B72" s="264" t="s">
        <v>1236</v>
      </c>
      <c r="C72" s="300">
        <v>10647</v>
      </c>
      <c r="D72" s="300">
        <v>9963</v>
      </c>
      <c r="E72" s="300">
        <v>10233</v>
      </c>
      <c r="F72" s="300">
        <v>9301</v>
      </c>
      <c r="G72" s="300">
        <v>9059</v>
      </c>
      <c r="H72" s="300">
        <v>9090</v>
      </c>
      <c r="I72" s="300">
        <v>8261</v>
      </c>
      <c r="J72" s="300">
        <v>10081</v>
      </c>
      <c r="K72" s="300">
        <v>8740</v>
      </c>
      <c r="L72" s="301">
        <v>3524</v>
      </c>
      <c r="M72" s="301">
        <v>0</v>
      </c>
      <c r="N72" s="301">
        <v>0</v>
      </c>
      <c r="O72" s="307">
        <f t="shared" si="5"/>
        <v>88899</v>
      </c>
      <c r="P72" s="175"/>
      <c r="Q72" s="175"/>
      <c r="R72" s="175"/>
      <c r="S72" s="175"/>
      <c r="T72" s="175"/>
      <c r="U72" s="175"/>
      <c r="V72" s="291"/>
      <c r="W72" s="175"/>
      <c r="X72" s="175"/>
      <c r="Y72" s="212"/>
      <c r="Z72" s="212"/>
      <c r="AA72" s="212"/>
      <c r="AB72" s="212"/>
      <c r="AC72" s="212"/>
      <c r="AD72" s="261"/>
      <c r="AE72" s="261"/>
      <c r="AF72" s="250"/>
      <c r="AG72" s="250"/>
      <c r="AI72" s="250"/>
      <c r="AP72" s="250"/>
      <c r="AQ72" s="250"/>
      <c r="AR72" s="250"/>
      <c r="AS72" s="250"/>
    </row>
    <row r="73" spans="1:45" s="179" customFormat="1" ht="14.45" customHeight="1" x14ac:dyDescent="0.2">
      <c r="A73" s="264"/>
      <c r="B73" s="264" t="s">
        <v>1237</v>
      </c>
      <c r="C73" s="300">
        <v>10495</v>
      </c>
      <c r="D73" s="300">
        <v>9887</v>
      </c>
      <c r="E73" s="300">
        <v>10008</v>
      </c>
      <c r="F73" s="300">
        <v>9516</v>
      </c>
      <c r="G73" s="300">
        <v>9492</v>
      </c>
      <c r="H73" s="300">
        <v>9935</v>
      </c>
      <c r="I73" s="300">
        <v>9513</v>
      </c>
      <c r="J73" s="300">
        <v>9767</v>
      </c>
      <c r="K73" s="300">
        <v>8541</v>
      </c>
      <c r="L73" s="301">
        <v>3453</v>
      </c>
      <c r="M73" s="301">
        <v>0</v>
      </c>
      <c r="N73" s="301">
        <v>0</v>
      </c>
      <c r="O73" s="307">
        <f t="shared" si="5"/>
        <v>90607</v>
      </c>
      <c r="P73" s="175"/>
      <c r="Q73" s="175"/>
      <c r="R73" s="175"/>
      <c r="S73" s="175"/>
      <c r="T73" s="175"/>
      <c r="U73" s="175"/>
      <c r="V73" s="291"/>
      <c r="W73" s="175"/>
      <c r="X73" s="175"/>
      <c r="Y73" s="212"/>
      <c r="Z73" s="212"/>
      <c r="AA73" s="212"/>
      <c r="AB73" s="212"/>
      <c r="AC73" s="212"/>
      <c r="AD73" s="261"/>
      <c r="AE73" s="261"/>
      <c r="AF73" s="250"/>
      <c r="AG73" s="250"/>
      <c r="AI73" s="250"/>
      <c r="AP73" s="250"/>
      <c r="AQ73" s="250"/>
      <c r="AR73" s="250"/>
      <c r="AS73" s="250"/>
    </row>
    <row r="74" spans="1:45" s="179" customFormat="1" ht="14.45" customHeight="1" x14ac:dyDescent="0.2">
      <c r="A74" s="264"/>
      <c r="B74" s="264" t="s">
        <v>1239</v>
      </c>
      <c r="C74" s="300">
        <v>12975</v>
      </c>
      <c r="D74" s="300">
        <v>13046</v>
      </c>
      <c r="E74" s="300">
        <v>13836</v>
      </c>
      <c r="F74" s="300">
        <v>12800</v>
      </c>
      <c r="G74" s="300">
        <v>11802</v>
      </c>
      <c r="H74" s="300">
        <v>11087</v>
      </c>
      <c r="I74" s="300">
        <v>9815</v>
      </c>
      <c r="J74" s="300">
        <v>9749</v>
      </c>
      <c r="K74" s="300">
        <v>10398</v>
      </c>
      <c r="L74" s="301">
        <v>5274</v>
      </c>
      <c r="M74" s="301">
        <v>0</v>
      </c>
      <c r="N74" s="301">
        <v>0</v>
      </c>
      <c r="O74" s="307">
        <f t="shared" si="5"/>
        <v>110782</v>
      </c>
      <c r="P74" s="175"/>
      <c r="Q74" s="175"/>
      <c r="R74" s="175"/>
      <c r="S74" s="175"/>
      <c r="T74" s="175"/>
      <c r="U74" s="175"/>
      <c r="V74" s="291"/>
      <c r="W74" s="175"/>
      <c r="X74" s="175"/>
      <c r="Y74" s="212"/>
      <c r="Z74" s="212"/>
      <c r="AA74" s="212"/>
      <c r="AB74" s="212"/>
      <c r="AC74" s="212"/>
      <c r="AD74" s="261"/>
      <c r="AE74" s="261"/>
      <c r="AF74" s="250"/>
      <c r="AG74" s="250"/>
      <c r="AI74" s="250"/>
      <c r="AP74" s="250"/>
      <c r="AQ74" s="250"/>
      <c r="AR74" s="250"/>
      <c r="AS74" s="250"/>
    </row>
    <row r="75" spans="1:45" s="179" customFormat="1" ht="14.45" customHeight="1" x14ac:dyDescent="0.2">
      <c r="A75" s="304" t="s">
        <v>1255</v>
      </c>
      <c r="B75" s="304" t="s">
        <v>1161</v>
      </c>
      <c r="C75" s="305">
        <v>437</v>
      </c>
      <c r="D75" s="305">
        <v>353</v>
      </c>
      <c r="E75" s="305">
        <v>315</v>
      </c>
      <c r="F75" s="305">
        <v>262</v>
      </c>
      <c r="G75" s="305">
        <v>256</v>
      </c>
      <c r="H75" s="305">
        <v>201</v>
      </c>
      <c r="I75" s="305">
        <v>244</v>
      </c>
      <c r="J75" s="305">
        <v>194</v>
      </c>
      <c r="K75" s="305">
        <v>183</v>
      </c>
      <c r="L75" s="305">
        <v>62</v>
      </c>
      <c r="M75" s="305">
        <f t="shared" ref="M75:N75" si="13">SUM(M76:M78)</f>
        <v>0</v>
      </c>
      <c r="N75" s="305">
        <f t="shared" si="13"/>
        <v>0</v>
      </c>
      <c r="O75" s="305">
        <f t="shared" si="5"/>
        <v>2507</v>
      </c>
      <c r="P75" s="175"/>
      <c r="Q75" s="175"/>
      <c r="R75" s="175"/>
      <c r="S75" s="175"/>
      <c r="T75" s="175"/>
      <c r="U75" s="175"/>
      <c r="V75" s="291"/>
      <c r="W75" s="175"/>
      <c r="X75" s="175"/>
      <c r="Y75" s="212"/>
      <c r="Z75" s="212"/>
      <c r="AA75" s="212"/>
      <c r="AB75" s="212"/>
      <c r="AC75" s="212"/>
      <c r="AD75" s="261"/>
      <c r="AE75" s="261"/>
      <c r="AF75" s="250"/>
      <c r="AG75" s="250"/>
      <c r="AI75" s="250"/>
      <c r="AP75" s="250"/>
      <c r="AQ75" s="250"/>
      <c r="AR75" s="250"/>
      <c r="AS75" s="250"/>
    </row>
    <row r="76" spans="1:45" s="179" customFormat="1" ht="14.45" customHeight="1" x14ac:dyDescent="0.2">
      <c r="A76" s="264"/>
      <c r="B76" s="264" t="s">
        <v>1236</v>
      </c>
      <c r="C76" s="300">
        <v>95</v>
      </c>
      <c r="D76" s="300">
        <v>75</v>
      </c>
      <c r="E76" s="300">
        <v>71</v>
      </c>
      <c r="F76" s="300">
        <v>53</v>
      </c>
      <c r="G76" s="300">
        <v>51</v>
      </c>
      <c r="H76" s="300">
        <v>39</v>
      </c>
      <c r="I76" s="300">
        <v>46</v>
      </c>
      <c r="J76" s="300">
        <v>48</v>
      </c>
      <c r="K76" s="300">
        <v>41</v>
      </c>
      <c r="L76" s="301">
        <v>12</v>
      </c>
      <c r="M76" s="301">
        <v>0</v>
      </c>
      <c r="N76" s="301">
        <v>0</v>
      </c>
      <c r="O76" s="307">
        <f t="shared" si="5"/>
        <v>531</v>
      </c>
      <c r="P76" s="175"/>
      <c r="Q76" s="175"/>
      <c r="R76" s="175"/>
      <c r="S76" s="175"/>
      <c r="T76" s="175"/>
      <c r="U76" s="175"/>
      <c r="V76" s="291"/>
      <c r="W76" s="175"/>
      <c r="X76" s="175"/>
      <c r="Y76" s="212"/>
      <c r="Z76" s="212"/>
      <c r="AA76" s="212"/>
      <c r="AB76" s="212"/>
      <c r="AC76" s="212"/>
      <c r="AD76" s="261"/>
      <c r="AE76" s="261"/>
      <c r="AF76" s="250"/>
      <c r="AG76" s="250"/>
      <c r="AI76" s="250"/>
      <c r="AP76" s="250"/>
      <c r="AQ76" s="250"/>
      <c r="AR76" s="250"/>
      <c r="AS76" s="250"/>
    </row>
    <row r="77" spans="1:45" s="179" customFormat="1" ht="14.45" customHeight="1" x14ac:dyDescent="0.2">
      <c r="A77" s="264"/>
      <c r="B77" s="264" t="s">
        <v>1237</v>
      </c>
      <c r="C77" s="300">
        <v>74</v>
      </c>
      <c r="D77" s="300">
        <v>79</v>
      </c>
      <c r="E77" s="300">
        <v>69</v>
      </c>
      <c r="F77" s="300">
        <v>66</v>
      </c>
      <c r="G77" s="300">
        <v>64</v>
      </c>
      <c r="H77" s="300">
        <v>53</v>
      </c>
      <c r="I77" s="300">
        <v>71</v>
      </c>
      <c r="J77" s="300">
        <v>53</v>
      </c>
      <c r="K77" s="300">
        <v>55</v>
      </c>
      <c r="L77" s="301">
        <v>17</v>
      </c>
      <c r="M77" s="301">
        <v>0</v>
      </c>
      <c r="N77" s="301">
        <v>0</v>
      </c>
      <c r="O77" s="307">
        <f t="shared" si="5"/>
        <v>601</v>
      </c>
      <c r="P77" s="175"/>
      <c r="Q77" s="175"/>
      <c r="R77" s="175"/>
      <c r="S77" s="175"/>
      <c r="T77" s="175"/>
      <c r="U77" s="175"/>
      <c r="V77" s="291"/>
      <c r="W77" s="175"/>
      <c r="X77" s="175"/>
      <c r="Y77" s="212"/>
      <c r="Z77" s="212"/>
      <c r="AA77" s="212"/>
      <c r="AB77" s="212"/>
      <c r="AC77" s="212"/>
      <c r="AD77" s="261"/>
      <c r="AE77" s="261"/>
      <c r="AF77" s="250"/>
      <c r="AG77" s="250"/>
      <c r="AI77" s="250"/>
      <c r="AP77" s="250"/>
      <c r="AQ77" s="250"/>
      <c r="AR77" s="250"/>
      <c r="AS77" s="250"/>
    </row>
    <row r="78" spans="1:45" s="179" customFormat="1" ht="14.45" customHeight="1" x14ac:dyDescent="0.2">
      <c r="A78" s="264"/>
      <c r="B78" s="264" t="s">
        <v>1239</v>
      </c>
      <c r="C78" s="300">
        <v>268</v>
      </c>
      <c r="D78" s="300">
        <v>199</v>
      </c>
      <c r="E78" s="300">
        <v>175</v>
      </c>
      <c r="F78" s="300">
        <v>143</v>
      </c>
      <c r="G78" s="300">
        <v>141</v>
      </c>
      <c r="H78" s="300">
        <v>109</v>
      </c>
      <c r="I78" s="300">
        <v>127</v>
      </c>
      <c r="J78" s="300">
        <v>93</v>
      </c>
      <c r="K78" s="300">
        <v>87</v>
      </c>
      <c r="L78" s="301">
        <v>33</v>
      </c>
      <c r="M78" s="301">
        <v>0</v>
      </c>
      <c r="N78" s="301">
        <v>0</v>
      </c>
      <c r="O78" s="307">
        <f t="shared" si="5"/>
        <v>1375</v>
      </c>
      <c r="P78" s="175"/>
      <c r="Q78" s="175"/>
      <c r="R78" s="175"/>
      <c r="S78" s="175"/>
      <c r="T78" s="175"/>
      <c r="U78" s="175"/>
      <c r="V78" s="291"/>
      <c r="W78" s="175"/>
      <c r="X78" s="175"/>
      <c r="Y78" s="212"/>
      <c r="Z78" s="212"/>
      <c r="AA78" s="212"/>
      <c r="AB78" s="212"/>
      <c r="AC78" s="212"/>
      <c r="AD78" s="261"/>
      <c r="AE78" s="261"/>
      <c r="AF78" s="250"/>
      <c r="AG78" s="250"/>
      <c r="AI78" s="250"/>
      <c r="AP78" s="250"/>
      <c r="AQ78" s="250"/>
      <c r="AR78" s="250"/>
      <c r="AS78" s="250"/>
    </row>
    <row r="79" spans="1:45" s="179" customFormat="1" ht="14.45" customHeight="1" x14ac:dyDescent="0.2">
      <c r="A79" s="304" t="s">
        <v>1256</v>
      </c>
      <c r="B79" s="304" t="s">
        <v>1161</v>
      </c>
      <c r="C79" s="305">
        <v>899</v>
      </c>
      <c r="D79" s="305">
        <v>753</v>
      </c>
      <c r="E79" s="305">
        <v>736</v>
      </c>
      <c r="F79" s="305">
        <v>658</v>
      </c>
      <c r="G79" s="305">
        <v>718</v>
      </c>
      <c r="H79" s="305">
        <v>893</v>
      </c>
      <c r="I79" s="305">
        <v>922</v>
      </c>
      <c r="J79" s="305">
        <v>894</v>
      </c>
      <c r="K79" s="305">
        <v>1026</v>
      </c>
      <c r="L79" s="305">
        <v>402</v>
      </c>
      <c r="M79" s="305">
        <f t="shared" ref="M79:N79" si="14">SUM(M80:M82)</f>
        <v>0</v>
      </c>
      <c r="N79" s="305">
        <f t="shared" si="14"/>
        <v>0</v>
      </c>
      <c r="O79" s="305">
        <f t="shared" si="5"/>
        <v>7901</v>
      </c>
      <c r="P79" s="175"/>
      <c r="Q79" s="175"/>
      <c r="R79" s="175"/>
      <c r="S79" s="175"/>
      <c r="T79" s="175"/>
      <c r="U79" s="175"/>
      <c r="V79" s="291"/>
      <c r="W79" s="175"/>
      <c r="X79" s="175"/>
      <c r="Y79" s="212"/>
      <c r="Z79" s="212"/>
      <c r="AA79" s="212"/>
      <c r="AB79" s="212"/>
      <c r="AC79" s="212"/>
      <c r="AD79" s="261"/>
      <c r="AE79" s="261"/>
      <c r="AF79" s="250"/>
      <c r="AG79" s="250"/>
      <c r="AI79" s="250"/>
      <c r="AP79" s="250"/>
      <c r="AQ79" s="250"/>
      <c r="AR79" s="250"/>
      <c r="AS79" s="250"/>
    </row>
    <row r="80" spans="1:45" s="179" customFormat="1" ht="14.45" customHeight="1" x14ac:dyDescent="0.2">
      <c r="A80" s="264"/>
      <c r="B80" s="264" t="s">
        <v>1236</v>
      </c>
      <c r="C80" s="300">
        <v>553</v>
      </c>
      <c r="D80" s="300">
        <v>481</v>
      </c>
      <c r="E80" s="300">
        <v>469</v>
      </c>
      <c r="F80" s="300">
        <v>428</v>
      </c>
      <c r="G80" s="300">
        <v>471</v>
      </c>
      <c r="H80" s="300">
        <v>567</v>
      </c>
      <c r="I80" s="300">
        <v>612</v>
      </c>
      <c r="J80" s="300">
        <v>587</v>
      </c>
      <c r="K80" s="300">
        <v>677</v>
      </c>
      <c r="L80" s="301">
        <v>241</v>
      </c>
      <c r="M80" s="301">
        <v>0</v>
      </c>
      <c r="N80" s="301">
        <v>0</v>
      </c>
      <c r="O80" s="307">
        <f t="shared" si="5"/>
        <v>5086</v>
      </c>
      <c r="P80" s="175"/>
      <c r="Q80" s="175"/>
      <c r="R80" s="175"/>
      <c r="S80" s="175"/>
      <c r="T80" s="175"/>
      <c r="U80" s="175"/>
      <c r="V80" s="291"/>
      <c r="W80" s="175"/>
      <c r="X80" s="175"/>
      <c r="Y80" s="212"/>
      <c r="Z80" s="212"/>
      <c r="AA80" s="212"/>
      <c r="AB80" s="212"/>
      <c r="AC80" s="212"/>
      <c r="AD80" s="261"/>
      <c r="AE80" s="261"/>
      <c r="AF80" s="250"/>
      <c r="AG80" s="250"/>
      <c r="AI80" s="250"/>
      <c r="AP80" s="250"/>
      <c r="AQ80" s="250"/>
      <c r="AR80" s="250"/>
      <c r="AS80" s="250"/>
    </row>
    <row r="81" spans="1:45" s="179" customFormat="1" ht="14.45" customHeight="1" x14ac:dyDescent="0.2">
      <c r="A81" s="264"/>
      <c r="B81" s="264" t="s">
        <v>1237</v>
      </c>
      <c r="C81" s="300">
        <v>280</v>
      </c>
      <c r="D81" s="300">
        <v>227</v>
      </c>
      <c r="E81" s="300">
        <v>210</v>
      </c>
      <c r="F81" s="300">
        <v>200</v>
      </c>
      <c r="G81" s="300">
        <v>211</v>
      </c>
      <c r="H81" s="300">
        <v>288</v>
      </c>
      <c r="I81" s="300">
        <v>248</v>
      </c>
      <c r="J81" s="300">
        <v>248</v>
      </c>
      <c r="K81" s="300">
        <v>260</v>
      </c>
      <c r="L81" s="301">
        <v>92</v>
      </c>
      <c r="M81" s="301">
        <v>0</v>
      </c>
      <c r="N81" s="301">
        <v>0</v>
      </c>
      <c r="O81" s="307">
        <f t="shared" si="5"/>
        <v>2264</v>
      </c>
      <c r="P81" s="175"/>
      <c r="Q81" s="175"/>
      <c r="R81" s="175"/>
      <c r="S81" s="175"/>
      <c r="T81" s="175"/>
      <c r="U81" s="175"/>
      <c r="V81" s="291"/>
      <c r="W81" s="175"/>
      <c r="X81" s="175"/>
      <c r="Y81" s="212"/>
      <c r="Z81" s="212"/>
      <c r="AA81" s="212"/>
      <c r="AB81" s="212"/>
      <c r="AC81" s="212"/>
      <c r="AD81" s="261"/>
      <c r="AE81" s="261"/>
      <c r="AF81" s="250"/>
      <c r="AG81" s="250"/>
      <c r="AI81" s="250"/>
      <c r="AP81" s="250"/>
      <c r="AQ81" s="250"/>
      <c r="AR81" s="250"/>
      <c r="AS81" s="250"/>
    </row>
    <row r="82" spans="1:45" s="179" customFormat="1" ht="14.45" customHeight="1" x14ac:dyDescent="0.2">
      <c r="A82" s="264"/>
      <c r="B82" s="264" t="s">
        <v>1239</v>
      </c>
      <c r="C82" s="300">
        <v>66</v>
      </c>
      <c r="D82" s="300">
        <v>45</v>
      </c>
      <c r="E82" s="300">
        <v>57</v>
      </c>
      <c r="F82" s="300">
        <v>30</v>
      </c>
      <c r="G82" s="300">
        <v>36</v>
      </c>
      <c r="H82" s="300">
        <v>38</v>
      </c>
      <c r="I82" s="300">
        <v>62</v>
      </c>
      <c r="J82" s="300">
        <v>59</v>
      </c>
      <c r="K82" s="300">
        <v>89</v>
      </c>
      <c r="L82" s="301">
        <v>69</v>
      </c>
      <c r="M82" s="301">
        <v>0</v>
      </c>
      <c r="N82" s="301">
        <v>0</v>
      </c>
      <c r="O82" s="307">
        <f t="shared" si="5"/>
        <v>551</v>
      </c>
      <c r="P82" s="175"/>
      <c r="Q82" s="175"/>
      <c r="R82" s="175"/>
      <c r="S82" s="175"/>
      <c r="T82" s="175"/>
      <c r="U82" s="175"/>
      <c r="V82" s="291"/>
      <c r="W82" s="175"/>
      <c r="X82" s="175"/>
      <c r="Y82" s="212"/>
      <c r="Z82" s="212"/>
      <c r="AA82" s="212"/>
      <c r="AB82" s="212"/>
      <c r="AC82" s="212"/>
      <c r="AD82" s="261"/>
      <c r="AE82" s="261"/>
      <c r="AF82" s="250"/>
      <c r="AG82" s="250"/>
      <c r="AI82" s="250"/>
      <c r="AP82" s="250"/>
      <c r="AQ82" s="250"/>
      <c r="AR82" s="250"/>
      <c r="AS82" s="250"/>
    </row>
    <row r="83" spans="1:45" s="179" customFormat="1" ht="14.45" customHeight="1" x14ac:dyDescent="0.2">
      <c r="A83" s="304" t="s">
        <v>1257</v>
      </c>
      <c r="B83" s="304" t="s">
        <v>1161</v>
      </c>
      <c r="C83" s="305">
        <v>242</v>
      </c>
      <c r="D83" s="305">
        <v>397</v>
      </c>
      <c r="E83" s="305">
        <v>346</v>
      </c>
      <c r="F83" s="305">
        <v>268</v>
      </c>
      <c r="G83" s="305">
        <v>207</v>
      </c>
      <c r="H83" s="305">
        <v>242</v>
      </c>
      <c r="I83" s="305">
        <v>151</v>
      </c>
      <c r="J83" s="305">
        <v>151</v>
      </c>
      <c r="K83" s="305">
        <v>251</v>
      </c>
      <c r="L83" s="305">
        <v>1006</v>
      </c>
      <c r="M83" s="305">
        <f t="shared" ref="M83:N83" si="15">SUM(M84:M86)</f>
        <v>0</v>
      </c>
      <c r="N83" s="305">
        <f t="shared" si="15"/>
        <v>0</v>
      </c>
      <c r="O83" s="305">
        <f t="shared" si="5"/>
        <v>3261</v>
      </c>
      <c r="P83" s="175"/>
      <c r="Q83" s="175"/>
      <c r="R83" s="175"/>
      <c r="S83" s="175"/>
      <c r="T83" s="175"/>
      <c r="U83" s="175"/>
      <c r="V83" s="291"/>
      <c r="W83" s="175"/>
      <c r="X83" s="175"/>
      <c r="Y83" s="212"/>
      <c r="Z83" s="212"/>
      <c r="AA83" s="212"/>
      <c r="AB83" s="212"/>
      <c r="AC83" s="212"/>
      <c r="AD83" s="261"/>
      <c r="AE83" s="261"/>
      <c r="AF83" s="250"/>
      <c r="AG83" s="250"/>
      <c r="AI83" s="250"/>
      <c r="AP83" s="250"/>
      <c r="AQ83" s="250"/>
      <c r="AR83" s="250"/>
      <c r="AS83" s="250"/>
    </row>
    <row r="84" spans="1:45" s="179" customFormat="1" ht="14.45" customHeight="1" x14ac:dyDescent="0.2">
      <c r="A84" s="264"/>
      <c r="B84" s="264" t="s">
        <v>1236</v>
      </c>
      <c r="C84" s="300">
        <v>54</v>
      </c>
      <c r="D84" s="300">
        <v>91</v>
      </c>
      <c r="E84" s="300">
        <v>93</v>
      </c>
      <c r="F84" s="300">
        <v>72</v>
      </c>
      <c r="G84" s="300">
        <v>63</v>
      </c>
      <c r="H84" s="300">
        <v>90</v>
      </c>
      <c r="I84" s="300">
        <v>39</v>
      </c>
      <c r="J84" s="300">
        <v>52</v>
      </c>
      <c r="K84" s="300">
        <v>85</v>
      </c>
      <c r="L84" s="301">
        <v>238</v>
      </c>
      <c r="M84" s="301">
        <v>0</v>
      </c>
      <c r="N84" s="301">
        <v>0</v>
      </c>
      <c r="O84" s="307">
        <f t="shared" si="5"/>
        <v>877</v>
      </c>
      <c r="P84" s="175"/>
      <c r="Q84" s="175"/>
      <c r="R84" s="175"/>
      <c r="S84" s="175"/>
      <c r="T84" s="175"/>
      <c r="U84" s="175"/>
      <c r="V84" s="291"/>
      <c r="W84" s="175"/>
      <c r="X84" s="175"/>
      <c r="Y84" s="212"/>
      <c r="Z84" s="212"/>
      <c r="AA84" s="212"/>
      <c r="AB84" s="212"/>
      <c r="AC84" s="212"/>
      <c r="AD84" s="261"/>
      <c r="AE84" s="261"/>
      <c r="AF84" s="250"/>
      <c r="AG84" s="250"/>
      <c r="AI84" s="250"/>
      <c r="AP84" s="250"/>
      <c r="AQ84" s="250"/>
      <c r="AR84" s="250"/>
      <c r="AS84" s="250"/>
    </row>
    <row r="85" spans="1:45" s="179" customFormat="1" ht="14.45" customHeight="1" x14ac:dyDescent="0.2">
      <c r="A85" s="264"/>
      <c r="B85" s="264" t="s">
        <v>1237</v>
      </c>
      <c r="C85" s="300">
        <v>95</v>
      </c>
      <c r="D85" s="300">
        <v>112</v>
      </c>
      <c r="E85" s="300">
        <v>121</v>
      </c>
      <c r="F85" s="300">
        <v>109</v>
      </c>
      <c r="G85" s="300">
        <v>80</v>
      </c>
      <c r="H85" s="300">
        <v>100</v>
      </c>
      <c r="I85" s="300">
        <v>48</v>
      </c>
      <c r="J85" s="300">
        <v>63</v>
      </c>
      <c r="K85" s="300">
        <v>61</v>
      </c>
      <c r="L85" s="301">
        <v>282</v>
      </c>
      <c r="M85" s="301">
        <v>0</v>
      </c>
      <c r="N85" s="301">
        <v>0</v>
      </c>
      <c r="O85" s="307">
        <f t="shared" si="5"/>
        <v>1071</v>
      </c>
      <c r="P85" s="175"/>
      <c r="Q85" s="175"/>
      <c r="R85" s="175"/>
      <c r="S85" s="175"/>
      <c r="T85" s="175"/>
      <c r="U85" s="175"/>
      <c r="V85" s="291"/>
      <c r="W85" s="175"/>
      <c r="X85" s="175"/>
      <c r="Y85" s="212"/>
      <c r="Z85" s="212"/>
      <c r="AA85" s="212"/>
      <c r="AB85" s="212"/>
      <c r="AC85" s="212"/>
      <c r="AD85" s="261"/>
      <c r="AE85" s="261"/>
      <c r="AF85" s="250"/>
      <c r="AG85" s="250"/>
      <c r="AI85" s="250"/>
      <c r="AP85" s="250"/>
      <c r="AQ85" s="250"/>
      <c r="AR85" s="250"/>
      <c r="AS85" s="250"/>
    </row>
    <row r="86" spans="1:45" s="179" customFormat="1" ht="14.45" customHeight="1" x14ac:dyDescent="0.2">
      <c r="A86" s="264"/>
      <c r="B86" s="264" t="s">
        <v>1239</v>
      </c>
      <c r="C86" s="300">
        <v>93</v>
      </c>
      <c r="D86" s="300">
        <v>194</v>
      </c>
      <c r="E86" s="300">
        <v>132</v>
      </c>
      <c r="F86" s="300">
        <v>87</v>
      </c>
      <c r="G86" s="300">
        <v>64</v>
      </c>
      <c r="H86" s="300">
        <v>52</v>
      </c>
      <c r="I86" s="300">
        <v>64</v>
      </c>
      <c r="J86" s="300">
        <v>36</v>
      </c>
      <c r="K86" s="300">
        <v>105</v>
      </c>
      <c r="L86" s="301">
        <v>486</v>
      </c>
      <c r="M86" s="301">
        <v>0</v>
      </c>
      <c r="N86" s="301">
        <v>0</v>
      </c>
      <c r="O86" s="307">
        <f t="shared" si="5"/>
        <v>1313</v>
      </c>
      <c r="P86" s="175"/>
      <c r="Q86" s="175"/>
      <c r="R86" s="175"/>
      <c r="S86" s="175"/>
      <c r="T86" s="175"/>
      <c r="U86" s="175"/>
      <c r="V86" s="291"/>
      <c r="W86" s="175"/>
      <c r="X86" s="175"/>
      <c r="Y86" s="212"/>
      <c r="Z86" s="212"/>
      <c r="AA86" s="212"/>
      <c r="AB86" s="212"/>
      <c r="AC86" s="212"/>
      <c r="AD86" s="261"/>
      <c r="AE86" s="261"/>
      <c r="AF86" s="250"/>
      <c r="AG86" s="250"/>
      <c r="AI86" s="250"/>
      <c r="AP86" s="250"/>
      <c r="AQ86" s="250"/>
      <c r="AR86" s="250"/>
      <c r="AS86" s="250"/>
    </row>
    <row r="87" spans="1:45" s="179" customFormat="1" ht="14.45" customHeight="1" x14ac:dyDescent="0.2">
      <c r="A87" s="304" t="s">
        <v>1217</v>
      </c>
      <c r="B87" s="304" t="s">
        <v>1161</v>
      </c>
      <c r="C87" s="305">
        <v>6</v>
      </c>
      <c r="D87" s="305">
        <v>7</v>
      </c>
      <c r="E87" s="305">
        <v>9</v>
      </c>
      <c r="F87" s="305">
        <v>6</v>
      </c>
      <c r="G87" s="305">
        <v>7</v>
      </c>
      <c r="H87" s="305">
        <v>8</v>
      </c>
      <c r="I87" s="305">
        <v>8</v>
      </c>
      <c r="J87" s="305">
        <v>2</v>
      </c>
      <c r="K87" s="305">
        <v>1</v>
      </c>
      <c r="L87" s="305">
        <v>0</v>
      </c>
      <c r="M87" s="305">
        <f t="shared" ref="M87:N87" si="16">SUM(M88:M90)</f>
        <v>0</v>
      </c>
      <c r="N87" s="305">
        <f t="shared" si="16"/>
        <v>0</v>
      </c>
      <c r="O87" s="305">
        <f t="shared" si="5"/>
        <v>54</v>
      </c>
      <c r="P87" s="175"/>
      <c r="Q87" s="175"/>
      <c r="R87" s="175"/>
      <c r="S87" s="175"/>
      <c r="T87" s="175"/>
      <c r="U87" s="175"/>
      <c r="V87" s="291"/>
      <c r="W87" s="175"/>
      <c r="X87" s="175"/>
      <c r="Y87" s="212"/>
      <c r="Z87" s="212"/>
      <c r="AA87" s="212"/>
      <c r="AB87" s="212"/>
      <c r="AC87" s="212"/>
      <c r="AD87" s="261"/>
      <c r="AE87" s="261"/>
      <c r="AF87" s="250"/>
      <c r="AG87" s="250"/>
      <c r="AI87" s="250"/>
      <c r="AP87" s="250"/>
      <c r="AQ87" s="250"/>
      <c r="AR87" s="250"/>
      <c r="AS87" s="250"/>
    </row>
    <row r="88" spans="1:45" s="179" customFormat="1" ht="14.45" customHeight="1" x14ac:dyDescent="0.2">
      <c r="A88" s="264"/>
      <c r="B88" s="264" t="s">
        <v>1236</v>
      </c>
      <c r="C88" s="300">
        <v>1</v>
      </c>
      <c r="D88" s="300">
        <v>1</v>
      </c>
      <c r="E88" s="300">
        <v>2</v>
      </c>
      <c r="F88" s="300">
        <v>2</v>
      </c>
      <c r="G88" s="300">
        <v>3</v>
      </c>
      <c r="H88" s="300">
        <v>2</v>
      </c>
      <c r="I88" s="300">
        <v>3</v>
      </c>
      <c r="J88" s="300">
        <v>1</v>
      </c>
      <c r="K88" s="300">
        <v>0</v>
      </c>
      <c r="L88" s="301">
        <v>0</v>
      </c>
      <c r="M88" s="301">
        <v>0</v>
      </c>
      <c r="N88" s="301">
        <v>0</v>
      </c>
      <c r="O88" s="307">
        <f t="shared" si="5"/>
        <v>15</v>
      </c>
      <c r="P88" s="175"/>
      <c r="Q88" s="175"/>
      <c r="R88" s="175"/>
      <c r="S88" s="175"/>
      <c r="T88" s="175"/>
      <c r="U88" s="175"/>
      <c r="V88" s="291"/>
      <c r="W88" s="175"/>
      <c r="X88" s="175"/>
      <c r="Y88" s="212"/>
      <c r="Z88" s="212"/>
      <c r="AA88" s="212"/>
      <c r="AB88" s="212"/>
      <c r="AC88" s="212"/>
      <c r="AD88" s="261"/>
      <c r="AE88" s="261"/>
      <c r="AF88" s="250"/>
      <c r="AG88" s="250"/>
      <c r="AI88" s="250"/>
      <c r="AP88" s="250"/>
      <c r="AQ88" s="250"/>
      <c r="AR88" s="250"/>
      <c r="AS88" s="250"/>
    </row>
    <row r="89" spans="1:45" s="179" customFormat="1" ht="14.45" customHeight="1" x14ac:dyDescent="0.2">
      <c r="A89" s="264"/>
      <c r="B89" s="264" t="s">
        <v>1237</v>
      </c>
      <c r="C89" s="300">
        <v>0</v>
      </c>
      <c r="D89" s="300">
        <v>2</v>
      </c>
      <c r="E89" s="300">
        <v>4</v>
      </c>
      <c r="F89" s="300">
        <v>3</v>
      </c>
      <c r="G89" s="300">
        <v>0</v>
      </c>
      <c r="H89" s="300">
        <v>4</v>
      </c>
      <c r="I89" s="300">
        <v>4</v>
      </c>
      <c r="J89" s="300">
        <v>1</v>
      </c>
      <c r="K89" s="300">
        <v>0</v>
      </c>
      <c r="L89" s="301">
        <v>0</v>
      </c>
      <c r="M89" s="301">
        <v>0</v>
      </c>
      <c r="N89" s="301">
        <v>0</v>
      </c>
      <c r="O89" s="307">
        <f t="shared" si="5"/>
        <v>18</v>
      </c>
      <c r="P89" s="175"/>
      <c r="Q89" s="175"/>
      <c r="R89" s="175"/>
      <c r="S89" s="175"/>
      <c r="T89" s="175"/>
      <c r="U89" s="175"/>
      <c r="V89" s="291"/>
      <c r="W89" s="175"/>
      <c r="X89" s="175"/>
      <c r="Y89" s="212"/>
      <c r="Z89" s="212"/>
      <c r="AA89" s="212"/>
      <c r="AB89" s="212"/>
      <c r="AC89" s="212"/>
      <c r="AD89" s="261"/>
      <c r="AE89" s="261"/>
      <c r="AF89" s="250"/>
      <c r="AG89" s="250"/>
      <c r="AI89" s="250"/>
      <c r="AP89" s="250"/>
      <c r="AQ89" s="250"/>
      <c r="AR89" s="250"/>
      <c r="AS89" s="250"/>
    </row>
    <row r="90" spans="1:45" s="179" customFormat="1" ht="14.45" customHeight="1" x14ac:dyDescent="0.2">
      <c r="A90" s="264"/>
      <c r="B90" s="264" t="s">
        <v>1239</v>
      </c>
      <c r="C90" s="300">
        <v>5</v>
      </c>
      <c r="D90" s="300">
        <v>4</v>
      </c>
      <c r="E90" s="300">
        <v>3</v>
      </c>
      <c r="F90" s="300">
        <v>1</v>
      </c>
      <c r="G90" s="300">
        <v>4</v>
      </c>
      <c r="H90" s="300">
        <v>2</v>
      </c>
      <c r="I90" s="300">
        <v>1</v>
      </c>
      <c r="J90" s="300">
        <v>0</v>
      </c>
      <c r="K90" s="300">
        <v>1</v>
      </c>
      <c r="L90" s="301">
        <v>0</v>
      </c>
      <c r="M90" s="301">
        <v>0</v>
      </c>
      <c r="N90" s="301">
        <v>0</v>
      </c>
      <c r="O90" s="307">
        <f t="shared" si="5"/>
        <v>21</v>
      </c>
      <c r="P90" s="175"/>
      <c r="Q90" s="175"/>
      <c r="R90" s="175"/>
      <c r="S90" s="175"/>
      <c r="T90" s="175"/>
      <c r="U90" s="175"/>
      <c r="V90" s="291"/>
      <c r="W90" s="175"/>
      <c r="X90" s="175"/>
      <c r="Y90" s="212"/>
      <c r="Z90" s="212"/>
      <c r="AA90" s="212"/>
      <c r="AB90" s="212"/>
      <c r="AC90" s="212"/>
      <c r="AD90" s="261"/>
      <c r="AE90" s="261"/>
      <c r="AF90" s="250"/>
      <c r="AG90" s="250"/>
      <c r="AI90" s="250"/>
      <c r="AP90" s="250"/>
      <c r="AQ90" s="250"/>
      <c r="AR90" s="250"/>
      <c r="AS90" s="250"/>
    </row>
    <row r="91" spans="1:45" s="179" customFormat="1" ht="12" customHeight="1" x14ac:dyDescent="0.2">
      <c r="A91" s="268"/>
      <c r="E91" s="175"/>
      <c r="F91" s="175"/>
      <c r="G91" s="175"/>
      <c r="Q91" s="175"/>
      <c r="R91" s="194"/>
      <c r="S91" s="194"/>
      <c r="T91" s="221"/>
      <c r="U91" s="221"/>
      <c r="V91" s="308"/>
      <c r="W91" s="194"/>
      <c r="X91" s="221"/>
      <c r="Y91" s="221"/>
      <c r="Z91" s="194"/>
      <c r="AA91" s="194"/>
      <c r="AB91" s="194"/>
      <c r="AC91" s="245"/>
      <c r="AD91" s="245"/>
      <c r="AE91" s="245"/>
      <c r="AF91" s="245"/>
      <c r="AQ91" s="250"/>
      <c r="AS91" s="250"/>
    </row>
    <row r="92" spans="1:45" s="175" customFormat="1" ht="18" customHeight="1" x14ac:dyDescent="0.25">
      <c r="A92" s="309"/>
      <c r="B92" s="238"/>
      <c r="C92" s="238"/>
      <c r="D92" s="238"/>
      <c r="E92" s="238"/>
      <c r="F92" s="238"/>
      <c r="G92" s="238"/>
      <c r="H92" s="238"/>
      <c r="I92" s="238"/>
      <c r="J92" s="238"/>
      <c r="K92" s="238"/>
      <c r="L92" s="238"/>
      <c r="M92" s="238"/>
      <c r="N92" s="238"/>
      <c r="O92" s="238"/>
      <c r="P92" s="238"/>
      <c r="Q92" s="238"/>
      <c r="R92" s="238"/>
      <c r="S92" s="238"/>
      <c r="T92" s="238"/>
      <c r="U92" s="238"/>
      <c r="V92" s="208"/>
      <c r="W92" s="194"/>
      <c r="X92" s="194"/>
      <c r="Y92" s="194"/>
      <c r="Z92" s="194"/>
    </row>
    <row r="93" spans="1:45" s="179" customFormat="1" ht="12" customHeight="1" x14ac:dyDescent="0.2">
      <c r="A93" s="268"/>
      <c r="F93" s="175"/>
      <c r="G93" s="175"/>
      <c r="H93" s="175"/>
      <c r="K93" s="175"/>
      <c r="L93" s="194"/>
      <c r="M93" s="194"/>
      <c r="N93" s="194"/>
      <c r="O93" s="194"/>
      <c r="P93" s="194"/>
      <c r="Q93" s="194"/>
      <c r="R93" s="194"/>
      <c r="S93" s="194"/>
      <c r="T93" s="194"/>
      <c r="U93" s="194"/>
      <c r="V93" s="267"/>
      <c r="W93" s="245"/>
      <c r="X93" s="245"/>
      <c r="Y93" s="245"/>
      <c r="Z93" s="245"/>
    </row>
    <row r="94" spans="1:45" s="179" customFormat="1" ht="23.25" customHeight="1" x14ac:dyDescent="0.25">
      <c r="A94" s="310" t="s">
        <v>1258</v>
      </c>
      <c r="B94" s="242"/>
      <c r="C94" s="242"/>
      <c r="D94" s="242"/>
      <c r="E94" s="242"/>
      <c r="F94" s="242"/>
      <c r="G94" s="242"/>
      <c r="H94" s="242"/>
      <c r="I94" s="242"/>
      <c r="J94" s="242"/>
      <c r="K94" s="242"/>
      <c r="L94" s="242"/>
      <c r="M94" s="242"/>
      <c r="N94" s="242"/>
      <c r="O94" s="194"/>
      <c r="P94" s="194"/>
      <c r="Q94" s="289"/>
      <c r="R94" s="289"/>
      <c r="S94" s="289"/>
      <c r="T94" s="289"/>
      <c r="U94" s="289"/>
      <c r="V94" s="311"/>
      <c r="W94" s="246"/>
      <c r="X94" s="246"/>
      <c r="Y94" s="246"/>
      <c r="Z94" s="246"/>
      <c r="AA94" s="249"/>
      <c r="AB94" s="249"/>
    </row>
    <row r="95" spans="1:45" s="179" customFormat="1" ht="22.5" customHeight="1" x14ac:dyDescent="0.2">
      <c r="A95" s="206" t="s">
        <v>1223</v>
      </c>
      <c r="B95" s="206" t="s">
        <v>1224</v>
      </c>
      <c r="C95" s="206" t="s">
        <v>1225</v>
      </c>
      <c r="D95" s="206" t="s">
        <v>1226</v>
      </c>
      <c r="E95" s="206" t="s">
        <v>1227</v>
      </c>
      <c r="F95" s="206" t="s">
        <v>1228</v>
      </c>
      <c r="G95" s="206" t="s">
        <v>1229</v>
      </c>
      <c r="H95" s="206" t="s">
        <v>1230</v>
      </c>
      <c r="I95" s="206" t="s">
        <v>1231</v>
      </c>
      <c r="J95" s="206" t="s">
        <v>1232</v>
      </c>
      <c r="K95" s="206" t="s">
        <v>1233</v>
      </c>
      <c r="L95" s="206" t="s">
        <v>1234</v>
      </c>
      <c r="M95" s="206" t="s">
        <v>1235</v>
      </c>
      <c r="N95" s="206" t="s">
        <v>1259</v>
      </c>
      <c r="O95" s="194"/>
      <c r="P95" s="289"/>
      <c r="Q95" s="289"/>
      <c r="R95" s="289"/>
      <c r="S95" s="289"/>
      <c r="T95" s="289"/>
      <c r="U95" s="289"/>
      <c r="V95" s="311"/>
      <c r="W95" s="246"/>
      <c r="X95" s="246"/>
      <c r="Y95" s="246"/>
      <c r="Z95" s="246"/>
      <c r="AA95" s="249"/>
      <c r="AB95" s="249"/>
      <c r="AC95" s="249"/>
      <c r="AD95" s="249"/>
      <c r="AE95" s="249"/>
      <c r="AF95" s="249"/>
    </row>
    <row r="96" spans="1:45" s="179" customFormat="1" ht="12" customHeight="1" x14ac:dyDescent="0.2">
      <c r="A96" s="312" t="s">
        <v>1260</v>
      </c>
      <c r="B96" s="313">
        <v>12626.870967999999</v>
      </c>
      <c r="C96" s="314">
        <v>11928.533332999999</v>
      </c>
      <c r="D96" s="315">
        <v>11259.741935</v>
      </c>
      <c r="E96" s="314">
        <v>10704.322581</v>
      </c>
      <c r="F96" s="315">
        <v>9776.7142860000004</v>
      </c>
      <c r="G96" s="314">
        <v>8708.6129029999993</v>
      </c>
      <c r="H96" s="314">
        <v>7888.5</v>
      </c>
      <c r="I96" s="315">
        <v>7267</v>
      </c>
      <c r="J96" s="314">
        <v>6850.4333329999999</v>
      </c>
      <c r="K96" s="315">
        <v>6721.5</v>
      </c>
      <c r="L96" s="315">
        <v>0</v>
      </c>
      <c r="M96" s="314">
        <v>0</v>
      </c>
      <c r="N96" s="315">
        <v>9550.8526320000001</v>
      </c>
      <c r="O96" s="316"/>
      <c r="P96" s="317"/>
      <c r="Q96" s="317"/>
      <c r="R96" s="317"/>
      <c r="S96" s="317"/>
      <c r="T96" s="317"/>
      <c r="U96" s="317"/>
      <c r="V96" s="318"/>
      <c r="W96" s="319"/>
      <c r="X96" s="319"/>
      <c r="Y96" s="319"/>
      <c r="Z96" s="319"/>
      <c r="AA96" s="320"/>
      <c r="AB96" s="320"/>
    </row>
    <row r="97" spans="1:34" s="179" customFormat="1" ht="12" customHeight="1" x14ac:dyDescent="0.2">
      <c r="A97" s="321" t="s">
        <v>1236</v>
      </c>
      <c r="B97" s="265">
        <v>1091.806452</v>
      </c>
      <c r="C97" s="322">
        <v>1039.3</v>
      </c>
      <c r="D97" s="322">
        <v>1023.8709679999999</v>
      </c>
      <c r="E97" s="322">
        <v>1014.096774</v>
      </c>
      <c r="F97" s="322">
        <v>957.32142899999997</v>
      </c>
      <c r="G97" s="322">
        <v>884.419355</v>
      </c>
      <c r="H97" s="322">
        <v>847.6</v>
      </c>
      <c r="I97" s="322">
        <v>862.83870999999999</v>
      </c>
      <c r="J97" s="322">
        <v>926.3</v>
      </c>
      <c r="K97" s="322">
        <v>1019.166667</v>
      </c>
      <c r="L97" s="322">
        <v>0</v>
      </c>
      <c r="M97" s="322">
        <v>0</v>
      </c>
      <c r="N97" s="322">
        <v>963.57543899999996</v>
      </c>
      <c r="O97" s="194"/>
      <c r="P97" s="317"/>
      <c r="Q97" s="317"/>
      <c r="R97" s="317"/>
      <c r="S97" s="317"/>
      <c r="T97" s="317"/>
      <c r="U97" s="221"/>
      <c r="V97" s="318"/>
      <c r="W97" s="319"/>
      <c r="X97" s="319"/>
      <c r="Y97" s="319"/>
      <c r="Z97" s="319"/>
      <c r="AA97" s="320"/>
      <c r="AB97" s="320"/>
      <c r="AC97" s="320"/>
      <c r="AD97" s="320"/>
      <c r="AE97" s="320"/>
      <c r="AF97" s="320"/>
      <c r="AG97" s="320"/>
    </row>
    <row r="98" spans="1:34" s="179" customFormat="1" ht="12" customHeight="1" x14ac:dyDescent="0.2">
      <c r="A98" s="323" t="s">
        <v>1237</v>
      </c>
      <c r="B98" s="265">
        <v>1607.0967740000001</v>
      </c>
      <c r="C98" s="322">
        <v>1774.2</v>
      </c>
      <c r="D98" s="322">
        <v>1911.387097</v>
      </c>
      <c r="E98" s="322">
        <v>1904.967742</v>
      </c>
      <c r="F98" s="322">
        <v>1811.6785709999999</v>
      </c>
      <c r="G98" s="322">
        <v>1698.741935</v>
      </c>
      <c r="H98" s="322">
        <v>1603.666667</v>
      </c>
      <c r="I98" s="322">
        <v>1553.032258</v>
      </c>
      <c r="J98" s="322">
        <v>1454.4333329999999</v>
      </c>
      <c r="K98" s="322">
        <v>1352.5</v>
      </c>
      <c r="L98" s="322">
        <v>0</v>
      </c>
      <c r="M98" s="322">
        <v>0</v>
      </c>
      <c r="N98" s="322">
        <v>1687.221053</v>
      </c>
      <c r="O98" s="194"/>
      <c r="P98" s="289"/>
      <c r="Q98" s="289"/>
      <c r="R98" s="289"/>
      <c r="S98" s="289"/>
      <c r="T98" s="289"/>
      <c r="U98" s="289"/>
      <c r="V98" s="311"/>
      <c r="W98" s="246"/>
      <c r="X98" s="246"/>
      <c r="Y98" s="246"/>
      <c r="Z98" s="246"/>
      <c r="AA98" s="320"/>
      <c r="AB98" s="320"/>
      <c r="AC98" s="320"/>
      <c r="AG98" s="320"/>
    </row>
    <row r="99" spans="1:34" s="325" customFormat="1" ht="12" customHeight="1" x14ac:dyDescent="0.2">
      <c r="A99" s="323" t="s">
        <v>1239</v>
      </c>
      <c r="B99" s="265">
        <v>9927.9677420000007</v>
      </c>
      <c r="C99" s="322">
        <v>9115.0333329999994</v>
      </c>
      <c r="D99" s="322">
        <v>8324.4838710000004</v>
      </c>
      <c r="E99" s="322">
        <v>7785.258065</v>
      </c>
      <c r="F99" s="322">
        <v>7007.7142860000004</v>
      </c>
      <c r="G99" s="322">
        <v>6125.4516130000002</v>
      </c>
      <c r="H99" s="322">
        <v>5437.2333330000001</v>
      </c>
      <c r="I99" s="322">
        <v>4851.1290319999998</v>
      </c>
      <c r="J99" s="322">
        <v>4469.7</v>
      </c>
      <c r="K99" s="322">
        <v>4349.8333329999996</v>
      </c>
      <c r="L99" s="322">
        <v>0</v>
      </c>
      <c r="M99" s="322">
        <v>0</v>
      </c>
      <c r="N99" s="322">
        <v>6900.0561399999997</v>
      </c>
      <c r="O99" s="317"/>
      <c r="P99" s="317"/>
      <c r="Q99" s="317"/>
      <c r="R99" s="317"/>
      <c r="S99" s="317"/>
      <c r="T99" s="317"/>
      <c r="U99" s="317"/>
      <c r="V99" s="318"/>
      <c r="W99" s="324"/>
      <c r="X99" s="324"/>
      <c r="Y99" s="324"/>
      <c r="Z99" s="324"/>
      <c r="AA99" s="324"/>
      <c r="AB99" s="324"/>
      <c r="AC99" s="324"/>
      <c r="AD99" s="324"/>
      <c r="AE99" s="324"/>
      <c r="AF99" s="324"/>
      <c r="AG99" s="324"/>
    </row>
    <row r="100" spans="1:34" s="179" customFormat="1" ht="12" customHeight="1" x14ac:dyDescent="0.2">
      <c r="A100" s="312" t="s">
        <v>1261</v>
      </c>
      <c r="B100" s="313">
        <v>50562.419354999998</v>
      </c>
      <c r="C100" s="314">
        <v>54691.333333000002</v>
      </c>
      <c r="D100" s="315">
        <v>58281.741934999998</v>
      </c>
      <c r="E100" s="314">
        <v>61232.225806000002</v>
      </c>
      <c r="F100" s="315">
        <v>58447.25</v>
      </c>
      <c r="G100" s="314">
        <v>54547.193548000003</v>
      </c>
      <c r="H100" s="314">
        <v>51973.933333000001</v>
      </c>
      <c r="I100" s="315">
        <v>50924.709676999999</v>
      </c>
      <c r="J100" s="314">
        <v>52574.9</v>
      </c>
      <c r="K100" s="315">
        <v>58912.916666999998</v>
      </c>
      <c r="L100" s="315">
        <v>0</v>
      </c>
      <c r="M100" s="314">
        <v>0</v>
      </c>
      <c r="N100" s="315">
        <v>54956.771930000003</v>
      </c>
      <c r="O100" s="194"/>
      <c r="P100" s="317"/>
      <c r="Q100" s="317"/>
      <c r="R100" s="317"/>
      <c r="S100" s="317"/>
      <c r="T100" s="317"/>
      <c r="U100" s="317"/>
      <c r="V100" s="318"/>
      <c r="W100" s="320"/>
      <c r="X100" s="320"/>
      <c r="Y100" s="320"/>
      <c r="Z100" s="320"/>
      <c r="AA100" s="320"/>
      <c r="AB100" s="320"/>
      <c r="AC100" s="320"/>
      <c r="AD100" s="320"/>
      <c r="AE100" s="320"/>
      <c r="AF100" s="320"/>
      <c r="AG100" s="320"/>
    </row>
    <row r="101" spans="1:34" s="179" customFormat="1" ht="12" customHeight="1" x14ac:dyDescent="0.2">
      <c r="A101" s="321" t="s">
        <v>1236</v>
      </c>
      <c r="B101" s="265">
        <v>16609.354839</v>
      </c>
      <c r="C101" s="322">
        <v>16904.166667000001</v>
      </c>
      <c r="D101" s="322">
        <v>17446.322581</v>
      </c>
      <c r="E101" s="322">
        <v>17698.354839</v>
      </c>
      <c r="F101" s="322">
        <v>17582.75</v>
      </c>
      <c r="G101" s="322">
        <v>17168.225805999999</v>
      </c>
      <c r="H101" s="322">
        <v>17188.066666999999</v>
      </c>
      <c r="I101" s="322">
        <v>17220.967742000001</v>
      </c>
      <c r="J101" s="322">
        <v>17366.166667000001</v>
      </c>
      <c r="K101" s="322">
        <v>18278.833332999999</v>
      </c>
      <c r="L101" s="322">
        <v>0</v>
      </c>
      <c r="M101" s="322">
        <v>0</v>
      </c>
      <c r="N101" s="322">
        <v>17283.701754000002</v>
      </c>
      <c r="O101" s="194"/>
      <c r="P101" s="317"/>
      <c r="Q101" s="317"/>
      <c r="R101" s="317"/>
      <c r="S101" s="317"/>
      <c r="T101" s="317"/>
      <c r="U101" s="317"/>
      <c r="V101" s="318"/>
      <c r="W101" s="320"/>
      <c r="X101" s="320"/>
      <c r="Y101" s="320"/>
      <c r="Z101" s="320"/>
      <c r="AA101" s="320"/>
      <c r="AB101" s="320"/>
      <c r="AC101" s="250"/>
      <c r="AD101" s="320"/>
      <c r="AE101" s="320"/>
      <c r="AF101" s="320"/>
      <c r="AG101" s="320"/>
    </row>
    <row r="102" spans="1:34" s="179" customFormat="1" ht="12" customHeight="1" x14ac:dyDescent="0.2">
      <c r="A102" s="323" t="s">
        <v>1237</v>
      </c>
      <c r="B102" s="265">
        <v>16292.741935</v>
      </c>
      <c r="C102" s="322">
        <v>17272.3</v>
      </c>
      <c r="D102" s="322">
        <v>17953.064515999999</v>
      </c>
      <c r="E102" s="322">
        <v>18641.064515999999</v>
      </c>
      <c r="F102" s="322">
        <v>18116.785714000001</v>
      </c>
      <c r="G102" s="322">
        <v>17853.548386999999</v>
      </c>
      <c r="H102" s="322">
        <v>17624.033332999999</v>
      </c>
      <c r="I102" s="322">
        <v>17504.451613000001</v>
      </c>
      <c r="J102" s="322">
        <v>17892.366666999998</v>
      </c>
      <c r="K102" s="322">
        <v>18892.583332999999</v>
      </c>
      <c r="L102" s="322">
        <v>0</v>
      </c>
      <c r="M102" s="322">
        <v>0</v>
      </c>
      <c r="N102" s="322">
        <v>17730.642104999999</v>
      </c>
      <c r="O102" s="194"/>
      <c r="P102" s="317"/>
      <c r="Q102" s="317"/>
      <c r="R102" s="317"/>
      <c r="S102" s="317"/>
      <c r="T102" s="221"/>
      <c r="U102" s="317"/>
      <c r="V102" s="318"/>
      <c r="W102" s="320"/>
      <c r="X102" s="320"/>
      <c r="Y102" s="320"/>
      <c r="Z102" s="320"/>
      <c r="AA102" s="320"/>
      <c r="AB102" s="320"/>
      <c r="AC102" s="320"/>
      <c r="AD102" s="320"/>
      <c r="AE102" s="320"/>
      <c r="AF102" s="320"/>
      <c r="AG102" s="320"/>
    </row>
    <row r="103" spans="1:34" s="179" customFormat="1" ht="12" customHeight="1" x14ac:dyDescent="0.2">
      <c r="A103" s="323" t="s">
        <v>1239</v>
      </c>
      <c r="B103" s="322">
        <v>17660.322581</v>
      </c>
      <c r="C103" s="322">
        <v>20514.866666999998</v>
      </c>
      <c r="D103" s="322">
        <v>22882.354839</v>
      </c>
      <c r="E103" s="322">
        <v>24892.806452000001</v>
      </c>
      <c r="F103" s="322">
        <v>22747.714285999999</v>
      </c>
      <c r="G103" s="322">
        <v>19525.419355000002</v>
      </c>
      <c r="H103" s="322">
        <v>17161.833332999999</v>
      </c>
      <c r="I103" s="322">
        <v>16199.290322999999</v>
      </c>
      <c r="J103" s="322">
        <v>17316.366666999998</v>
      </c>
      <c r="K103" s="322">
        <v>21741.5</v>
      </c>
      <c r="L103" s="322">
        <v>0</v>
      </c>
      <c r="M103" s="322">
        <v>0</v>
      </c>
      <c r="N103" s="322">
        <v>19942.428070000002</v>
      </c>
      <c r="O103" s="194"/>
      <c r="P103" s="317"/>
      <c r="Q103" s="317"/>
      <c r="R103" s="317"/>
      <c r="S103" s="317"/>
      <c r="T103" s="317"/>
      <c r="U103" s="317"/>
      <c r="V103" s="318"/>
      <c r="W103" s="320"/>
      <c r="X103" s="320"/>
      <c r="Y103" s="320"/>
      <c r="Z103" s="250"/>
      <c r="AA103" s="320"/>
      <c r="AB103" s="320"/>
      <c r="AC103" s="320"/>
      <c r="AD103" s="320"/>
      <c r="AG103" s="320"/>
    </row>
    <row r="104" spans="1:34" s="179" customFormat="1" ht="12" customHeight="1" x14ac:dyDescent="0.2">
      <c r="A104" s="312" t="s">
        <v>1262</v>
      </c>
      <c r="B104" s="313">
        <v>63189.290323000001</v>
      </c>
      <c r="C104" s="314">
        <v>66619.866666999995</v>
      </c>
      <c r="D104" s="315">
        <v>69541.483871000004</v>
      </c>
      <c r="E104" s="314">
        <v>71936.548387000003</v>
      </c>
      <c r="F104" s="315">
        <v>68223.964286000002</v>
      </c>
      <c r="G104" s="314">
        <v>63255.806451999997</v>
      </c>
      <c r="H104" s="314">
        <v>59862.433333000001</v>
      </c>
      <c r="I104" s="315">
        <v>58191.709676999999</v>
      </c>
      <c r="J104" s="314">
        <v>59425.333333000002</v>
      </c>
      <c r="K104" s="315">
        <v>65634.416666999998</v>
      </c>
      <c r="L104" s="315">
        <v>0</v>
      </c>
      <c r="M104" s="314">
        <v>0</v>
      </c>
      <c r="N104" s="315">
        <v>64507.624560999997</v>
      </c>
      <c r="O104" s="194"/>
      <c r="P104" s="317"/>
      <c r="Q104" s="317"/>
      <c r="R104" s="317"/>
      <c r="S104" s="317"/>
      <c r="T104" s="317"/>
      <c r="U104" s="317"/>
      <c r="V104" s="318"/>
      <c r="W104" s="320"/>
      <c r="X104" s="320"/>
      <c r="Y104" s="320"/>
      <c r="Z104" s="320"/>
      <c r="AA104" s="320"/>
      <c r="AB104" s="320"/>
      <c r="AC104" s="320"/>
      <c r="AD104" s="320"/>
      <c r="AG104" s="320"/>
    </row>
    <row r="105" spans="1:34" s="179" customFormat="1" ht="12" customHeight="1" x14ac:dyDescent="0.2">
      <c r="A105" s="321" t="s">
        <v>1236</v>
      </c>
      <c r="B105" s="265">
        <v>17701.16129</v>
      </c>
      <c r="C105" s="322">
        <v>17943.466667000001</v>
      </c>
      <c r="D105" s="322">
        <v>18470.193547999999</v>
      </c>
      <c r="E105" s="322">
        <v>18712.451613000001</v>
      </c>
      <c r="F105" s="322">
        <v>18540.071429</v>
      </c>
      <c r="G105" s="322">
        <v>18052.645161</v>
      </c>
      <c r="H105" s="322">
        <v>18035.666667000001</v>
      </c>
      <c r="I105" s="322">
        <v>18083.806452000001</v>
      </c>
      <c r="J105" s="322">
        <v>18292.466667000001</v>
      </c>
      <c r="K105" s="322">
        <v>19298</v>
      </c>
      <c r="L105" s="322">
        <v>0</v>
      </c>
      <c r="M105" s="322">
        <v>0</v>
      </c>
      <c r="N105" s="322">
        <v>18247.277193000002</v>
      </c>
      <c r="O105" s="194"/>
      <c r="P105" s="317"/>
      <c r="Q105" s="317"/>
      <c r="R105" s="320"/>
      <c r="S105" s="317"/>
      <c r="T105" s="317"/>
      <c r="U105" s="317"/>
      <c r="V105" s="318"/>
      <c r="W105" s="320"/>
      <c r="X105" s="320"/>
      <c r="Y105" s="320"/>
      <c r="Z105" s="320"/>
      <c r="AA105" s="320"/>
      <c r="AB105" s="320"/>
    </row>
    <row r="106" spans="1:34" s="179" customFormat="1" ht="12" customHeight="1" x14ac:dyDescent="0.2">
      <c r="A106" s="323" t="s">
        <v>1237</v>
      </c>
      <c r="B106" s="265">
        <v>17899.83871</v>
      </c>
      <c r="C106" s="322">
        <v>19046.5</v>
      </c>
      <c r="D106" s="322">
        <v>19864.451613000001</v>
      </c>
      <c r="E106" s="322">
        <v>20546.032257999999</v>
      </c>
      <c r="F106" s="322">
        <v>19928.464285999999</v>
      </c>
      <c r="G106" s="322">
        <v>19552.290323000001</v>
      </c>
      <c r="H106" s="322">
        <v>19227.7</v>
      </c>
      <c r="I106" s="322">
        <v>19057.483871</v>
      </c>
      <c r="J106" s="322">
        <v>19346.8</v>
      </c>
      <c r="K106" s="322">
        <v>20245.083332999999</v>
      </c>
      <c r="L106" s="322">
        <v>0</v>
      </c>
      <c r="M106" s="322">
        <v>0</v>
      </c>
      <c r="N106" s="322">
        <v>19417.863158</v>
      </c>
      <c r="O106" s="194"/>
      <c r="P106" s="317"/>
      <c r="Q106" s="317"/>
      <c r="R106" s="221"/>
      <c r="S106" s="317"/>
      <c r="T106" s="317"/>
      <c r="U106" s="317"/>
      <c r="V106" s="318"/>
      <c r="W106" s="320"/>
      <c r="X106" s="320"/>
      <c r="Y106" s="320"/>
      <c r="Z106" s="320"/>
      <c r="AA106" s="320"/>
      <c r="AB106" s="320"/>
    </row>
    <row r="107" spans="1:34" s="179" customFormat="1" ht="12" customHeight="1" x14ac:dyDescent="0.2">
      <c r="A107" s="323" t="s">
        <v>1239</v>
      </c>
      <c r="B107" s="265">
        <v>27588.290323000001</v>
      </c>
      <c r="C107" s="322">
        <v>29629.9</v>
      </c>
      <c r="D107" s="322">
        <v>31206.83871</v>
      </c>
      <c r="E107" s="322">
        <v>32678.064515999999</v>
      </c>
      <c r="F107" s="322">
        <v>29755.428571</v>
      </c>
      <c r="G107" s="322">
        <v>25650.870967999999</v>
      </c>
      <c r="H107" s="322">
        <v>22599.066666999999</v>
      </c>
      <c r="I107" s="322">
        <v>21050.419355000002</v>
      </c>
      <c r="J107" s="322">
        <v>21786.066666999999</v>
      </c>
      <c r="K107" s="322">
        <v>26091.333332999999</v>
      </c>
      <c r="L107" s="322">
        <v>0</v>
      </c>
      <c r="M107" s="322">
        <v>0</v>
      </c>
      <c r="N107" s="322">
        <v>26842.484210999999</v>
      </c>
      <c r="O107" s="194"/>
      <c r="P107" s="317"/>
      <c r="Q107" s="317"/>
      <c r="R107" s="221"/>
      <c r="S107" s="221"/>
      <c r="T107" s="317"/>
      <c r="U107" s="317"/>
      <c r="V107" s="318"/>
      <c r="W107" s="320"/>
      <c r="X107" s="320"/>
      <c r="Y107" s="320"/>
      <c r="Z107" s="320"/>
      <c r="AA107" s="320"/>
      <c r="AB107" s="320"/>
    </row>
    <row r="108" spans="1:34" s="179" customFormat="1" ht="12" customHeight="1" x14ac:dyDescent="0.2">
      <c r="A108" s="268"/>
      <c r="F108" s="175"/>
      <c r="G108" s="175"/>
      <c r="H108" s="175"/>
      <c r="I108" s="175"/>
      <c r="J108" s="175"/>
      <c r="K108" s="175"/>
      <c r="L108" s="194"/>
      <c r="M108" s="194"/>
      <c r="N108" s="194"/>
      <c r="O108" s="194"/>
      <c r="P108" s="317"/>
      <c r="Q108" s="317"/>
      <c r="R108" s="317"/>
      <c r="S108" s="221"/>
      <c r="T108" s="317"/>
      <c r="U108" s="317"/>
      <c r="V108" s="318"/>
      <c r="W108" s="320"/>
      <c r="X108" s="320"/>
      <c r="Y108" s="320"/>
      <c r="Z108" s="320"/>
      <c r="AA108" s="320"/>
      <c r="AB108" s="320"/>
    </row>
    <row r="109" spans="1:34" s="179" customFormat="1" ht="12" customHeight="1" x14ac:dyDescent="0.25">
      <c r="A109" s="326"/>
      <c r="B109" s="238"/>
      <c r="C109" s="238"/>
      <c r="D109" s="238"/>
      <c r="E109" s="238"/>
      <c r="F109" s="238"/>
      <c r="G109" s="238"/>
      <c r="H109" s="238"/>
      <c r="I109" s="238"/>
      <c r="J109" s="238"/>
      <c r="K109" s="238"/>
      <c r="L109" s="238"/>
      <c r="M109" s="238"/>
      <c r="N109" s="238"/>
      <c r="O109" s="238"/>
      <c r="P109" s="238"/>
      <c r="Q109" s="238"/>
      <c r="R109" s="238"/>
      <c r="S109" s="238"/>
      <c r="T109" s="238"/>
      <c r="U109" s="238"/>
      <c r="V109" s="270"/>
    </row>
    <row r="110" spans="1:34" s="179" customFormat="1" ht="12" customHeight="1" x14ac:dyDescent="0.2">
      <c r="A110" s="268"/>
      <c r="F110" s="175"/>
      <c r="G110" s="175"/>
      <c r="H110" s="175"/>
      <c r="I110" s="175"/>
      <c r="J110" s="175"/>
      <c r="K110" s="175"/>
      <c r="L110" s="194"/>
      <c r="M110" s="194"/>
      <c r="N110" s="194"/>
      <c r="O110" s="194"/>
      <c r="P110" s="194"/>
      <c r="Q110" s="194"/>
      <c r="R110" s="194"/>
      <c r="S110" s="194"/>
      <c r="T110" s="194"/>
      <c r="U110" s="194"/>
      <c r="V110" s="267"/>
      <c r="AA110" s="249"/>
      <c r="AB110" s="249"/>
      <c r="AC110" s="249"/>
      <c r="AD110" s="249"/>
      <c r="AE110" s="249"/>
      <c r="AF110" s="249"/>
      <c r="AG110" s="249"/>
    </row>
    <row r="111" spans="1:34" s="179" customFormat="1" ht="24.75" customHeight="1" x14ac:dyDescent="0.25">
      <c r="A111" s="310" t="s">
        <v>1263</v>
      </c>
      <c r="B111" s="242"/>
      <c r="C111" s="242"/>
      <c r="D111" s="242"/>
      <c r="E111" s="242"/>
      <c r="F111" s="242"/>
      <c r="G111" s="242"/>
      <c r="H111" s="242"/>
      <c r="I111" s="242"/>
      <c r="J111" s="242"/>
      <c r="K111" s="242"/>
      <c r="L111" s="242"/>
      <c r="M111" s="242"/>
      <c r="N111" s="242"/>
      <c r="O111" s="194"/>
      <c r="P111" s="194"/>
      <c r="Q111" s="289"/>
      <c r="R111" s="289"/>
      <c r="S111" s="289"/>
      <c r="T111" s="289"/>
      <c r="U111" s="289"/>
      <c r="V111" s="311"/>
      <c r="W111" s="249"/>
      <c r="X111" s="249"/>
      <c r="Y111" s="249"/>
      <c r="Z111" s="249"/>
      <c r="AA111" s="249"/>
      <c r="AB111" s="249"/>
    </row>
    <row r="112" spans="1:34" s="179" customFormat="1" ht="12" customHeight="1" x14ac:dyDescent="0.2">
      <c r="A112" s="206" t="s">
        <v>1223</v>
      </c>
      <c r="B112" s="206" t="s">
        <v>1224</v>
      </c>
      <c r="C112" s="206" t="s">
        <v>1225</v>
      </c>
      <c r="D112" s="206" t="s">
        <v>1226</v>
      </c>
      <c r="E112" s="206" t="s">
        <v>1227</v>
      </c>
      <c r="F112" s="206" t="s">
        <v>1228</v>
      </c>
      <c r="G112" s="206" t="s">
        <v>1229</v>
      </c>
      <c r="H112" s="206" t="s">
        <v>1230</v>
      </c>
      <c r="I112" s="206" t="s">
        <v>1231</v>
      </c>
      <c r="J112" s="206" t="s">
        <v>1232</v>
      </c>
      <c r="K112" s="206" t="s">
        <v>1233</v>
      </c>
      <c r="L112" s="206" t="s">
        <v>1234</v>
      </c>
      <c r="M112" s="206" t="s">
        <v>1235</v>
      </c>
      <c r="N112" s="206" t="s">
        <v>1259</v>
      </c>
      <c r="O112" s="194"/>
      <c r="P112" s="289"/>
      <c r="Q112" s="289"/>
      <c r="R112" s="289"/>
      <c r="S112" s="289"/>
      <c r="T112" s="289"/>
      <c r="U112" s="289"/>
      <c r="V112" s="311"/>
      <c r="W112" s="249"/>
      <c r="X112" s="249"/>
      <c r="Y112" s="249"/>
      <c r="Z112" s="249"/>
      <c r="AA112" s="249"/>
      <c r="AB112" s="249"/>
      <c r="AC112" s="320"/>
      <c r="AD112" s="320"/>
      <c r="AE112" s="320"/>
      <c r="AF112" s="320"/>
      <c r="AG112" s="320"/>
      <c r="AH112" s="320"/>
    </row>
    <row r="113" spans="1:34" s="179" customFormat="1" ht="12.75" customHeight="1" x14ac:dyDescent="0.2">
      <c r="A113" s="312" t="s">
        <v>1260</v>
      </c>
      <c r="B113" s="327">
        <v>74.642291810048107</v>
      </c>
      <c r="C113" s="328">
        <v>92.031147898061405</v>
      </c>
      <c r="D113" s="329">
        <v>96.185313970137003</v>
      </c>
      <c r="E113" s="328">
        <v>100.397352531351</v>
      </c>
      <c r="F113" s="329">
        <v>94.550790067720001</v>
      </c>
      <c r="G113" s="328">
        <v>97.936950514945906</v>
      </c>
      <c r="H113" s="328">
        <v>98.540099921114901</v>
      </c>
      <c r="I113" s="329">
        <v>80.347593582887697</v>
      </c>
      <c r="J113" s="328">
        <v>77.899819261554299</v>
      </c>
      <c r="K113" s="329">
        <v>59.4980872226472</v>
      </c>
      <c r="L113" s="329">
        <v>0</v>
      </c>
      <c r="M113" s="328">
        <v>0</v>
      </c>
      <c r="N113" s="329">
        <v>88.909555633135497</v>
      </c>
      <c r="O113" s="194"/>
      <c r="P113" s="194"/>
      <c r="Q113" s="289"/>
      <c r="R113" s="289"/>
      <c r="S113" s="289"/>
      <c r="T113" s="289"/>
      <c r="U113" s="289"/>
      <c r="V113" s="311"/>
      <c r="W113" s="249"/>
      <c r="X113" s="249"/>
      <c r="Y113" s="249"/>
      <c r="Z113" s="249"/>
      <c r="AA113" s="249"/>
      <c r="AB113" s="249"/>
      <c r="AC113" s="320"/>
      <c r="AD113" s="320"/>
      <c r="AE113" s="320"/>
      <c r="AF113" s="320"/>
      <c r="AG113" s="320"/>
      <c r="AH113" s="320"/>
    </row>
    <row r="114" spans="1:34" s="179" customFormat="1" ht="12" customHeight="1" x14ac:dyDescent="0.2">
      <c r="A114" s="321" t="s">
        <v>1236</v>
      </c>
      <c r="B114" s="330">
        <v>32.727615457115903</v>
      </c>
      <c r="C114" s="331">
        <v>38.350717079530597</v>
      </c>
      <c r="D114" s="331">
        <v>34.760729613733901</v>
      </c>
      <c r="E114" s="331">
        <v>45.581395348837198</v>
      </c>
      <c r="F114" s="331">
        <v>56.198373983739799</v>
      </c>
      <c r="G114" s="331">
        <v>65.753012048192701</v>
      </c>
      <c r="H114" s="331">
        <v>55.5516637478108</v>
      </c>
      <c r="I114" s="331">
        <v>44.938095238095201</v>
      </c>
      <c r="J114" s="331">
        <v>37.573726541554898</v>
      </c>
      <c r="K114" s="331">
        <v>30.259615384615302</v>
      </c>
      <c r="L114" s="331">
        <v>0</v>
      </c>
      <c r="M114" s="331">
        <v>0</v>
      </c>
      <c r="N114" s="331">
        <v>42.935305260090303</v>
      </c>
      <c r="O114" s="194"/>
      <c r="P114" s="194"/>
      <c r="Q114" s="194"/>
      <c r="R114" s="289"/>
      <c r="S114" s="289"/>
      <c r="T114" s="289"/>
      <c r="U114" s="289"/>
      <c r="V114" s="311"/>
      <c r="W114" s="249"/>
      <c r="X114" s="249"/>
      <c r="Y114" s="249"/>
      <c r="Z114" s="249"/>
      <c r="AA114" s="320"/>
      <c r="AB114" s="320"/>
      <c r="AC114" s="250"/>
      <c r="AD114" s="320"/>
      <c r="AE114" s="320"/>
      <c r="AF114" s="320"/>
      <c r="AH114" s="320"/>
    </row>
    <row r="115" spans="1:34" s="179" customFormat="1" ht="12" customHeight="1" x14ac:dyDescent="0.2">
      <c r="A115" s="323" t="s">
        <v>1237</v>
      </c>
      <c r="B115" s="330">
        <v>36.922413793103402</v>
      </c>
      <c r="C115" s="331">
        <v>42.034557235421097</v>
      </c>
      <c r="D115" s="331">
        <v>46.865969581748999</v>
      </c>
      <c r="E115" s="331">
        <v>51.1550053821313</v>
      </c>
      <c r="F115" s="331">
        <v>57.066666666666599</v>
      </c>
      <c r="G115" s="331">
        <v>58.7777777777777</v>
      </c>
      <c r="H115" s="331">
        <v>61.7175141242937</v>
      </c>
      <c r="I115" s="331">
        <v>54.114093959731498</v>
      </c>
      <c r="J115" s="331">
        <v>49.1133909287257</v>
      </c>
      <c r="K115" s="331">
        <v>40.094076655052199</v>
      </c>
      <c r="L115" s="331">
        <v>0</v>
      </c>
      <c r="M115" s="331">
        <v>0</v>
      </c>
      <c r="N115" s="331">
        <v>50.170876671619602</v>
      </c>
      <c r="O115" s="194"/>
      <c r="P115" s="194"/>
      <c r="Q115" s="289"/>
      <c r="R115" s="289"/>
      <c r="S115" s="289"/>
      <c r="T115" s="289"/>
      <c r="U115" s="289"/>
      <c r="V115" s="311"/>
      <c r="W115" s="249"/>
      <c r="X115" s="249"/>
      <c r="AA115" s="320"/>
      <c r="AB115" s="320"/>
      <c r="AC115" s="320"/>
      <c r="AD115" s="320"/>
      <c r="AE115" s="320"/>
      <c r="AF115" s="320"/>
      <c r="AG115" s="320"/>
      <c r="AH115" s="320"/>
    </row>
    <row r="116" spans="1:34" s="179" customFormat="1" ht="12" customHeight="1" x14ac:dyDescent="0.2">
      <c r="A116" s="323" t="s">
        <v>1239</v>
      </c>
      <c r="B116" s="330">
        <v>97.261936876180201</v>
      </c>
      <c r="C116" s="331">
        <v>122.213940648723</v>
      </c>
      <c r="D116" s="331">
        <v>133.75215146299399</v>
      </c>
      <c r="E116" s="331">
        <v>132.82993197278901</v>
      </c>
      <c r="F116" s="331">
        <v>117.011990407673</v>
      </c>
      <c r="G116" s="331">
        <v>118.620337652139</v>
      </c>
      <c r="H116" s="331">
        <v>122.88368129526999</v>
      </c>
      <c r="I116" s="331">
        <v>102.90093642188199</v>
      </c>
      <c r="J116" s="331">
        <v>103.67878237164901</v>
      </c>
      <c r="K116" s="331">
        <v>80.248587570621396</v>
      </c>
      <c r="L116" s="331">
        <v>0</v>
      </c>
      <c r="M116" s="331">
        <v>0</v>
      </c>
      <c r="N116" s="331">
        <v>115.63254389546699</v>
      </c>
      <c r="O116" s="194"/>
      <c r="P116" s="289"/>
      <c r="Q116" s="289"/>
      <c r="R116" s="289"/>
      <c r="S116" s="289"/>
      <c r="T116" s="289"/>
      <c r="U116" s="289"/>
      <c r="V116" s="311"/>
      <c r="W116" s="249"/>
      <c r="X116" s="249"/>
      <c r="Y116" s="249"/>
      <c r="Z116" s="249"/>
    </row>
    <row r="117" spans="1:34" s="179" customFormat="1" ht="12" customHeight="1" x14ac:dyDescent="0.2">
      <c r="A117" s="312" t="s">
        <v>1261</v>
      </c>
      <c r="B117" s="327">
        <v>42.303563165201297</v>
      </c>
      <c r="C117" s="328">
        <v>41.234551904982197</v>
      </c>
      <c r="D117" s="329">
        <v>40.407970741052502</v>
      </c>
      <c r="E117" s="328">
        <v>44.962364001892098</v>
      </c>
      <c r="F117" s="329">
        <v>47.396875000000001</v>
      </c>
      <c r="G117" s="328">
        <v>50.7308849373008</v>
      </c>
      <c r="H117" s="328">
        <v>51.336758401780102</v>
      </c>
      <c r="I117" s="329">
        <v>46.609824940696001</v>
      </c>
      <c r="J117" s="328">
        <v>44.576127065618401</v>
      </c>
      <c r="K117" s="329">
        <v>33.3175077960924</v>
      </c>
      <c r="L117" s="329">
        <v>0</v>
      </c>
      <c r="M117" s="328">
        <v>0</v>
      </c>
      <c r="N117" s="329">
        <v>44.8510321920321</v>
      </c>
      <c r="O117" s="194"/>
      <c r="P117" s="289"/>
      <c r="Q117" s="289"/>
      <c r="R117" s="317"/>
      <c r="S117" s="317"/>
      <c r="T117" s="317"/>
      <c r="U117" s="317"/>
      <c r="V117" s="267"/>
      <c r="Z117" s="249"/>
      <c r="AA117" s="249"/>
      <c r="AB117" s="249"/>
      <c r="AC117" s="249"/>
      <c r="AD117" s="249"/>
      <c r="AE117" s="249"/>
      <c r="AF117" s="249"/>
    </row>
    <row r="118" spans="1:34" s="179" customFormat="1" ht="12" customHeight="1" x14ac:dyDescent="0.2">
      <c r="A118" s="321" t="s">
        <v>1236</v>
      </c>
      <c r="B118" s="330">
        <v>48.323607427055698</v>
      </c>
      <c r="C118" s="331">
        <v>46.997260005871397</v>
      </c>
      <c r="D118" s="331">
        <v>44.946991404011399</v>
      </c>
      <c r="E118" s="331">
        <v>46.345895294357298</v>
      </c>
      <c r="F118" s="331">
        <v>45.916896657466999</v>
      </c>
      <c r="G118" s="331">
        <v>51.457816992168098</v>
      </c>
      <c r="H118" s="331">
        <v>52.376540540540503</v>
      </c>
      <c r="I118" s="331">
        <v>47.8847439255713</v>
      </c>
      <c r="J118" s="331">
        <v>47.631134020618497</v>
      </c>
      <c r="K118" s="331">
        <v>39.876693455797898</v>
      </c>
      <c r="L118" s="331">
        <v>0</v>
      </c>
      <c r="M118" s="331">
        <v>0</v>
      </c>
      <c r="N118" s="331">
        <v>47.577332675822802</v>
      </c>
      <c r="O118" s="194"/>
      <c r="P118" s="289"/>
      <c r="Q118" s="289"/>
      <c r="R118" s="289"/>
      <c r="S118" s="289"/>
      <c r="T118" s="289"/>
      <c r="U118" s="317"/>
      <c r="V118" s="311"/>
      <c r="W118" s="249"/>
      <c r="X118" s="249"/>
      <c r="Y118" s="249"/>
      <c r="Z118" s="249"/>
      <c r="AA118" s="249"/>
      <c r="AB118" s="249"/>
      <c r="AC118" s="249"/>
    </row>
    <row r="119" spans="1:34" s="179" customFormat="1" ht="12" customHeight="1" x14ac:dyDescent="0.2">
      <c r="A119" s="323" t="s">
        <v>1237</v>
      </c>
      <c r="B119" s="330">
        <v>43.742627864256001</v>
      </c>
      <c r="C119" s="331">
        <v>44.150346489906603</v>
      </c>
      <c r="D119" s="331">
        <v>43.913571778539897</v>
      </c>
      <c r="E119" s="331">
        <v>47.868297083291502</v>
      </c>
      <c r="F119" s="331">
        <v>48.111719060883402</v>
      </c>
      <c r="G119" s="331">
        <v>48.656851851851798</v>
      </c>
      <c r="H119" s="331">
        <v>49.524082346086601</v>
      </c>
      <c r="I119" s="331">
        <v>47.275708313980402</v>
      </c>
      <c r="J119" s="331">
        <v>47.533682008368203</v>
      </c>
      <c r="K119" s="331">
        <v>39.299977308826797</v>
      </c>
      <c r="L119" s="331">
        <v>0</v>
      </c>
      <c r="M119" s="331">
        <v>0</v>
      </c>
      <c r="N119" s="331">
        <v>46.421972935951104</v>
      </c>
      <c r="O119" s="194"/>
      <c r="P119" s="289"/>
      <c r="Q119" s="289"/>
      <c r="R119" s="317"/>
      <c r="S119" s="317"/>
      <c r="T119" s="317"/>
      <c r="U119" s="317"/>
      <c r="V119" s="311"/>
      <c r="W119" s="249"/>
      <c r="X119" s="249"/>
      <c r="Y119" s="249"/>
      <c r="Z119" s="249"/>
      <c r="AA119" s="249"/>
      <c r="AB119" s="249"/>
    </row>
    <row r="120" spans="1:34" s="179" customFormat="1" ht="12" customHeight="1" x14ac:dyDescent="0.2">
      <c r="A120" s="323" t="s">
        <v>1239</v>
      </c>
      <c r="B120" s="330">
        <v>35.492879472038901</v>
      </c>
      <c r="C120" s="331">
        <v>34.050821145518398</v>
      </c>
      <c r="D120" s="331">
        <v>34.361353077816403</v>
      </c>
      <c r="E120" s="331">
        <v>41.927507306294103</v>
      </c>
      <c r="F120" s="331">
        <v>47.939308293045698</v>
      </c>
      <c r="G120" s="331">
        <v>51.918571653791503</v>
      </c>
      <c r="H120" s="331">
        <v>52.158568704023203</v>
      </c>
      <c r="I120" s="331">
        <v>44.753815296066897</v>
      </c>
      <c r="J120" s="331">
        <v>39.711969760604703</v>
      </c>
      <c r="K120" s="331">
        <v>25.415048194504301</v>
      </c>
      <c r="L120" s="331">
        <v>0</v>
      </c>
      <c r="M120" s="331">
        <v>0</v>
      </c>
      <c r="N120" s="331">
        <v>41.3961016593152</v>
      </c>
      <c r="O120" s="194"/>
      <c r="P120" s="289"/>
      <c r="Q120" s="289"/>
      <c r="R120" s="289"/>
      <c r="S120" s="289"/>
      <c r="T120" s="289"/>
      <c r="U120" s="289"/>
      <c r="V120" s="311"/>
      <c r="W120" s="249"/>
      <c r="X120" s="249"/>
      <c r="Y120" s="249"/>
      <c r="Z120" s="249"/>
      <c r="AA120" s="249"/>
      <c r="AB120" s="249"/>
    </row>
    <row r="121" spans="1:34" s="179" customFormat="1" ht="12" customHeight="1" x14ac:dyDescent="0.2">
      <c r="A121" s="312" t="s">
        <v>1262</v>
      </c>
      <c r="B121" s="327">
        <v>47.220315483820301</v>
      </c>
      <c r="C121" s="328">
        <v>47.536426525428297</v>
      </c>
      <c r="D121" s="329">
        <v>47.339730554143301</v>
      </c>
      <c r="E121" s="328">
        <v>51.222606871229999</v>
      </c>
      <c r="F121" s="329">
        <v>52.441623956851899</v>
      </c>
      <c r="G121" s="328">
        <v>55.735074825584398</v>
      </c>
      <c r="H121" s="328">
        <v>56.560968511727999</v>
      </c>
      <c r="I121" s="329">
        <v>49.862220533970003</v>
      </c>
      <c r="J121" s="328">
        <v>48.259632399109499</v>
      </c>
      <c r="K121" s="329">
        <v>35.327967097532301</v>
      </c>
      <c r="L121" s="329">
        <v>0</v>
      </c>
      <c r="M121" s="328">
        <v>0</v>
      </c>
      <c r="N121" s="329">
        <v>49.8876197263397</v>
      </c>
      <c r="O121" s="194"/>
      <c r="P121" s="194"/>
      <c r="Q121" s="194"/>
      <c r="R121" s="194"/>
      <c r="S121" s="194"/>
      <c r="T121" s="194"/>
      <c r="U121" s="194"/>
      <c r="V121" s="267"/>
    </row>
    <row r="122" spans="1:34" s="179" customFormat="1" ht="12" customHeight="1" x14ac:dyDescent="0.2">
      <c r="A122" s="321" t="s">
        <v>1236</v>
      </c>
      <c r="B122" s="330">
        <v>46.899199449083198</v>
      </c>
      <c r="C122" s="331">
        <v>46.3935918441653</v>
      </c>
      <c r="D122" s="331">
        <v>44.1143659007191</v>
      </c>
      <c r="E122" s="331">
        <v>46.292918760071998</v>
      </c>
      <c r="F122" s="331">
        <v>46.525004808616998</v>
      </c>
      <c r="G122" s="331">
        <v>52.130373169579499</v>
      </c>
      <c r="H122" s="331">
        <v>52.561144486304798</v>
      </c>
      <c r="I122" s="331">
        <v>47.726091787026697</v>
      </c>
      <c r="J122" s="331">
        <v>46.912885314953002</v>
      </c>
      <c r="K122" s="331">
        <v>39.233769016498798</v>
      </c>
      <c r="L122" s="331">
        <v>0</v>
      </c>
      <c r="M122" s="331">
        <v>0</v>
      </c>
      <c r="N122" s="331">
        <v>47.265522843831903</v>
      </c>
      <c r="O122" s="194"/>
      <c r="P122" s="194"/>
      <c r="Q122" s="194"/>
      <c r="R122" s="194"/>
      <c r="S122" s="194"/>
      <c r="T122" s="194"/>
      <c r="U122" s="194"/>
      <c r="V122" s="267"/>
    </row>
    <row r="123" spans="1:34" s="179" customFormat="1" ht="12" customHeight="1" x14ac:dyDescent="0.2">
      <c r="A123" s="323" t="s">
        <v>1237</v>
      </c>
      <c r="B123" s="330">
        <v>43.117326776148197</v>
      </c>
      <c r="C123" s="331">
        <v>43.970320683635002</v>
      </c>
      <c r="D123" s="331">
        <v>44.189482100026602</v>
      </c>
      <c r="E123" s="331">
        <v>48.148267008985798</v>
      </c>
      <c r="F123" s="331">
        <v>48.825032045412897</v>
      </c>
      <c r="G123" s="331">
        <v>49.464042263122003</v>
      </c>
      <c r="H123" s="331">
        <v>50.489045873200297</v>
      </c>
      <c r="I123" s="331">
        <v>47.800068616519397</v>
      </c>
      <c r="J123" s="331">
        <v>47.673183292008297</v>
      </c>
      <c r="K123" s="331">
        <v>39.348530038346802</v>
      </c>
      <c r="L123" s="331">
        <v>0</v>
      </c>
      <c r="M123" s="331">
        <v>0</v>
      </c>
      <c r="N123" s="331">
        <v>46.734010065358198</v>
      </c>
      <c r="O123" s="194"/>
      <c r="P123" s="194"/>
      <c r="Q123" s="194"/>
      <c r="R123" s="194"/>
      <c r="S123" s="194"/>
      <c r="T123" s="194"/>
      <c r="U123" s="194"/>
      <c r="V123" s="267"/>
    </row>
    <row r="124" spans="1:34" s="179" customFormat="1" ht="12" customHeight="1" x14ac:dyDescent="0.2">
      <c r="A124" s="323" t="s">
        <v>1239</v>
      </c>
      <c r="B124" s="330">
        <v>50.534454443933498</v>
      </c>
      <c r="C124" s="331">
        <v>50.929774724185698</v>
      </c>
      <c r="D124" s="331">
        <v>51.670283556141698</v>
      </c>
      <c r="E124" s="331">
        <v>56.351964017991001</v>
      </c>
      <c r="F124" s="331">
        <v>58.776446980623298</v>
      </c>
      <c r="G124" s="331">
        <v>63.071292588459201</v>
      </c>
      <c r="H124" s="331">
        <v>64.584967809552296</v>
      </c>
      <c r="I124" s="331">
        <v>53.495702430349702</v>
      </c>
      <c r="J124" s="331">
        <v>49.692896639727699</v>
      </c>
      <c r="K124" s="331">
        <v>30.483875179527299</v>
      </c>
      <c r="L124" s="331">
        <v>0</v>
      </c>
      <c r="M124" s="331">
        <v>0</v>
      </c>
      <c r="N124" s="331">
        <v>54.0641187332334</v>
      </c>
      <c r="O124" s="194"/>
      <c r="P124" s="194"/>
      <c r="Q124" s="194"/>
      <c r="R124" s="194"/>
      <c r="S124" s="194"/>
      <c r="T124" s="194"/>
      <c r="U124" s="194"/>
      <c r="V124" s="267"/>
    </row>
    <row r="125" spans="1:34" s="179" customFormat="1" ht="12" customHeight="1" x14ac:dyDescent="0.2">
      <c r="A125" s="268"/>
      <c r="F125" s="175"/>
      <c r="G125" s="175"/>
      <c r="H125" s="175"/>
      <c r="I125" s="175"/>
      <c r="J125" s="175"/>
      <c r="K125" s="175"/>
      <c r="L125" s="194"/>
      <c r="M125" s="194"/>
      <c r="N125" s="194"/>
      <c r="O125" s="194"/>
      <c r="P125" s="194"/>
      <c r="Q125" s="194"/>
      <c r="R125" s="194"/>
      <c r="S125" s="194"/>
      <c r="T125" s="194"/>
      <c r="U125" s="194"/>
      <c r="V125" s="267"/>
    </row>
    <row r="126" spans="1:34" s="179" customFormat="1" ht="12" customHeight="1" x14ac:dyDescent="0.25">
      <c r="A126" s="326"/>
      <c r="B126" s="238"/>
      <c r="C126" s="238"/>
      <c r="D126" s="238"/>
      <c r="E126" s="238"/>
      <c r="F126" s="238"/>
      <c r="G126" s="238"/>
      <c r="H126" s="238"/>
      <c r="I126" s="238"/>
      <c r="J126" s="238"/>
      <c r="K126" s="238"/>
      <c r="L126" s="238"/>
      <c r="M126" s="238"/>
      <c r="N126" s="238"/>
      <c r="O126" s="238"/>
      <c r="P126" s="238"/>
      <c r="Q126" s="238"/>
      <c r="R126" s="238"/>
      <c r="S126" s="238"/>
      <c r="T126" s="238"/>
      <c r="U126" s="238"/>
      <c r="V126" s="270"/>
    </row>
    <row r="127" spans="1:34" s="179" customFormat="1" ht="12" customHeight="1" x14ac:dyDescent="0.2">
      <c r="A127" s="268"/>
      <c r="F127" s="175"/>
      <c r="G127" s="175"/>
      <c r="H127" s="175"/>
      <c r="I127" s="175"/>
      <c r="J127" s="175"/>
      <c r="K127" s="175"/>
      <c r="L127" s="194"/>
      <c r="M127" s="194"/>
      <c r="N127" s="194"/>
      <c r="O127" s="194"/>
      <c r="P127" s="194"/>
      <c r="Q127" s="194"/>
      <c r="R127" s="194"/>
      <c r="S127" s="289"/>
      <c r="T127" s="289"/>
      <c r="U127" s="289"/>
      <c r="V127" s="311"/>
    </row>
    <row r="128" spans="1:34" s="175" customFormat="1" ht="24.75" customHeight="1" x14ac:dyDescent="0.2">
      <c r="A128" s="332" t="s">
        <v>1264</v>
      </c>
      <c r="B128" s="174"/>
      <c r="C128" s="174"/>
      <c r="D128" s="174"/>
      <c r="E128" s="174"/>
      <c r="F128" s="174"/>
      <c r="G128" s="174"/>
      <c r="H128" s="174"/>
      <c r="I128" s="174"/>
      <c r="J128" s="174"/>
      <c r="K128" s="174"/>
      <c r="L128" s="174"/>
      <c r="M128" s="174"/>
      <c r="N128" s="174"/>
      <c r="O128" s="194"/>
      <c r="P128" s="289"/>
      <c r="Q128" s="289"/>
      <c r="R128" s="289"/>
      <c r="S128" s="289"/>
      <c r="T128" s="289"/>
      <c r="U128" s="289"/>
      <c r="V128" s="311"/>
      <c r="W128" s="277"/>
      <c r="X128" s="277"/>
      <c r="Y128" s="277"/>
      <c r="Z128" s="277"/>
      <c r="AA128" s="277"/>
      <c r="AB128" s="277"/>
    </row>
    <row r="129" spans="1:33" s="179" customFormat="1" ht="12" customHeight="1" x14ac:dyDescent="0.2">
      <c r="A129" s="205" t="s">
        <v>1243</v>
      </c>
      <c r="B129" s="206" t="s">
        <v>1224</v>
      </c>
      <c r="C129" s="206" t="s">
        <v>1225</v>
      </c>
      <c r="D129" s="206" t="s">
        <v>1226</v>
      </c>
      <c r="E129" s="206" t="s">
        <v>1227</v>
      </c>
      <c r="F129" s="206" t="s">
        <v>1228</v>
      </c>
      <c r="G129" s="206" t="s">
        <v>1229</v>
      </c>
      <c r="H129" s="206" t="s">
        <v>1230</v>
      </c>
      <c r="I129" s="206" t="s">
        <v>1231</v>
      </c>
      <c r="J129" s="206" t="s">
        <v>1232</v>
      </c>
      <c r="K129" s="206" t="s">
        <v>1233</v>
      </c>
      <c r="L129" s="206" t="s">
        <v>1234</v>
      </c>
      <c r="M129" s="206" t="s">
        <v>1235</v>
      </c>
      <c r="N129" s="206" t="s">
        <v>1259</v>
      </c>
      <c r="O129" s="194"/>
      <c r="P129" s="317"/>
      <c r="Q129" s="289"/>
      <c r="R129" s="289"/>
      <c r="S129" s="289"/>
      <c r="T129" s="289"/>
      <c r="U129" s="289"/>
      <c r="V129" s="311"/>
      <c r="W129" s="249"/>
      <c r="X129" s="249"/>
      <c r="Y129" s="249"/>
      <c r="Z129" s="249"/>
      <c r="AA129" s="249"/>
      <c r="AB129" s="249"/>
      <c r="AC129" s="249"/>
      <c r="AD129" s="249"/>
      <c r="AE129" s="249"/>
      <c r="AF129" s="249"/>
    </row>
    <row r="130" spans="1:33" s="179" customFormat="1" ht="12.75" customHeight="1" thickBot="1" x14ac:dyDescent="0.25">
      <c r="A130" s="213" t="s">
        <v>1161</v>
      </c>
      <c r="B130" s="313">
        <v>63189.290323000001</v>
      </c>
      <c r="C130" s="314">
        <v>66619.866666999995</v>
      </c>
      <c r="D130" s="315">
        <v>69541.483871000004</v>
      </c>
      <c r="E130" s="314">
        <v>71936.548387000003</v>
      </c>
      <c r="F130" s="315">
        <v>68223.964286000002</v>
      </c>
      <c r="G130" s="314">
        <v>63255.806451999997</v>
      </c>
      <c r="H130" s="314">
        <v>59862.433333000001</v>
      </c>
      <c r="I130" s="315">
        <v>58191.709676999999</v>
      </c>
      <c r="J130" s="314">
        <v>59425.333333000002</v>
      </c>
      <c r="K130" s="315">
        <v>65634.416666999998</v>
      </c>
      <c r="L130" s="315">
        <v>0</v>
      </c>
      <c r="M130" s="314">
        <v>0</v>
      </c>
      <c r="N130" s="313">
        <v>64507.624560999997</v>
      </c>
      <c r="O130" s="194"/>
      <c r="P130" s="317"/>
      <c r="Q130" s="317"/>
      <c r="R130" s="317"/>
      <c r="S130" s="317"/>
      <c r="T130" s="221"/>
      <c r="U130" s="317"/>
      <c r="V130" s="318"/>
      <c r="W130" s="320"/>
      <c r="X130" s="320"/>
      <c r="Y130" s="320"/>
      <c r="Z130" s="320"/>
      <c r="AA130" s="320"/>
      <c r="AB130" s="320"/>
    </row>
    <row r="131" spans="1:33" s="179" customFormat="1" ht="12.6" customHeight="1" thickTop="1" x14ac:dyDescent="0.2">
      <c r="A131" s="222" t="s">
        <v>1208</v>
      </c>
      <c r="B131" s="265">
        <v>423.09677399999998</v>
      </c>
      <c r="C131" s="322">
        <v>599</v>
      </c>
      <c r="D131" s="322">
        <v>859.54838700000005</v>
      </c>
      <c r="E131" s="322">
        <v>925.06451600000003</v>
      </c>
      <c r="F131" s="322">
        <v>450.67857099999998</v>
      </c>
      <c r="G131" s="322">
        <v>140</v>
      </c>
      <c r="H131" s="322">
        <v>155.6</v>
      </c>
      <c r="I131" s="322">
        <v>171.90322599999999</v>
      </c>
      <c r="J131" s="322">
        <v>155.033333</v>
      </c>
      <c r="K131" s="322">
        <v>206.66666699999999</v>
      </c>
      <c r="L131" s="322">
        <v>0</v>
      </c>
      <c r="M131" s="322">
        <v>0</v>
      </c>
      <c r="N131" s="322">
        <v>422.79298199999999</v>
      </c>
      <c r="O131" s="194"/>
      <c r="P131" s="317"/>
      <c r="Q131" s="317"/>
      <c r="R131" s="317"/>
      <c r="S131" s="317"/>
      <c r="T131" s="317"/>
      <c r="U131" s="317"/>
      <c r="V131" s="318"/>
      <c r="W131" s="320"/>
      <c r="X131" s="320"/>
      <c r="Y131" s="320"/>
      <c r="Z131" s="320"/>
      <c r="AA131" s="249"/>
      <c r="AB131" s="320"/>
      <c r="AF131" s="320"/>
      <c r="AG131" s="320"/>
    </row>
    <row r="132" spans="1:33" s="179" customFormat="1" ht="12" customHeight="1" x14ac:dyDescent="0.2">
      <c r="A132" s="229" t="s">
        <v>1209</v>
      </c>
      <c r="B132" s="265">
        <v>62766.193548000003</v>
      </c>
      <c r="C132" s="322">
        <v>66020.866666999995</v>
      </c>
      <c r="D132" s="322">
        <v>68681.935484000001</v>
      </c>
      <c r="E132" s="322">
        <v>71011.483871000004</v>
      </c>
      <c r="F132" s="322">
        <v>67773.285713999998</v>
      </c>
      <c r="G132" s="322">
        <v>63115.806451999997</v>
      </c>
      <c r="H132" s="322">
        <v>59706.833333000002</v>
      </c>
      <c r="I132" s="322">
        <v>58019.806451999997</v>
      </c>
      <c r="J132" s="322">
        <v>59270.3</v>
      </c>
      <c r="K132" s="322">
        <v>65427.75</v>
      </c>
      <c r="L132" s="322">
        <v>0</v>
      </c>
      <c r="M132" s="322">
        <v>0</v>
      </c>
      <c r="N132" s="265">
        <v>64084.831578999998</v>
      </c>
      <c r="O132" s="194"/>
      <c r="P132" s="317"/>
      <c r="Q132" s="317"/>
      <c r="R132" s="317"/>
      <c r="S132" s="317"/>
      <c r="T132" s="317"/>
      <c r="U132" s="317"/>
      <c r="V132" s="318"/>
      <c r="W132" s="320"/>
      <c r="X132" s="320"/>
      <c r="Y132" s="320"/>
      <c r="Z132" s="320"/>
      <c r="AA132" s="249"/>
      <c r="AB132" s="320"/>
      <c r="AF132" s="320"/>
      <c r="AG132" s="320"/>
    </row>
    <row r="133" spans="1:33" s="334" customFormat="1" ht="23.25" customHeight="1" x14ac:dyDescent="0.2">
      <c r="A133" s="268"/>
      <c r="B133" s="179"/>
      <c r="C133" s="179"/>
      <c r="D133" s="179"/>
      <c r="E133" s="179"/>
      <c r="F133" s="175"/>
      <c r="G133" s="175"/>
      <c r="H133" s="175"/>
      <c r="I133" s="175"/>
      <c r="J133" s="175"/>
      <c r="K133" s="175"/>
      <c r="L133" s="194"/>
      <c r="M133" s="194"/>
      <c r="N133" s="194"/>
      <c r="O133" s="194"/>
      <c r="P133" s="317"/>
      <c r="Q133" s="317"/>
      <c r="R133" s="317"/>
      <c r="S133" s="317"/>
      <c r="T133" s="317"/>
      <c r="U133" s="317"/>
      <c r="V133" s="318"/>
      <c r="W133" s="333"/>
      <c r="X133" s="333"/>
      <c r="Y133" s="333"/>
      <c r="Z133" s="333"/>
      <c r="AA133" s="333"/>
      <c r="AB133" s="333"/>
      <c r="AC133" s="333"/>
      <c r="AD133" s="333"/>
      <c r="AE133" s="333"/>
      <c r="AF133" s="333"/>
      <c r="AG133" s="333"/>
    </row>
    <row r="134" spans="1:33" s="179" customFormat="1" ht="12.75" customHeight="1" x14ac:dyDescent="0.2">
      <c r="A134" s="332" t="s">
        <v>1265</v>
      </c>
      <c r="B134" s="177"/>
      <c r="C134" s="177"/>
      <c r="D134" s="177"/>
      <c r="E134" s="177"/>
      <c r="F134" s="177"/>
      <c r="G134" s="177"/>
      <c r="H134" s="177"/>
      <c r="I134" s="177"/>
      <c r="J134" s="177"/>
      <c r="K134" s="177"/>
      <c r="L134" s="177"/>
      <c r="M134" s="177"/>
      <c r="N134" s="177"/>
      <c r="O134" s="194"/>
      <c r="P134" s="194"/>
      <c r="Q134" s="317"/>
      <c r="R134" s="317"/>
      <c r="S134" s="289"/>
      <c r="T134" s="289"/>
      <c r="U134" s="289"/>
      <c r="V134" s="318"/>
      <c r="W134" s="320"/>
      <c r="X134" s="320"/>
      <c r="Y134" s="320"/>
      <c r="Z134" s="320"/>
      <c r="AA134" s="320"/>
    </row>
    <row r="135" spans="1:33" s="179" customFormat="1" ht="12.75" customHeight="1" x14ac:dyDescent="0.2">
      <c r="A135" s="205" t="s">
        <v>1243</v>
      </c>
      <c r="B135" s="206" t="s">
        <v>1224</v>
      </c>
      <c r="C135" s="206" t="s">
        <v>1225</v>
      </c>
      <c r="D135" s="206" t="s">
        <v>1226</v>
      </c>
      <c r="E135" s="206" t="s">
        <v>1227</v>
      </c>
      <c r="F135" s="206" t="s">
        <v>1228</v>
      </c>
      <c r="G135" s="206" t="s">
        <v>1229</v>
      </c>
      <c r="H135" s="206" t="s">
        <v>1230</v>
      </c>
      <c r="I135" s="206" t="s">
        <v>1231</v>
      </c>
      <c r="J135" s="206" t="s">
        <v>1232</v>
      </c>
      <c r="K135" s="206" t="s">
        <v>1233</v>
      </c>
      <c r="L135" s="206" t="s">
        <v>1234</v>
      </c>
      <c r="M135" s="206" t="s">
        <v>1235</v>
      </c>
      <c r="N135" s="206" t="s">
        <v>1259</v>
      </c>
      <c r="O135" s="194"/>
      <c r="P135" s="289"/>
      <c r="Q135" s="289"/>
      <c r="R135" s="289"/>
      <c r="S135" s="289"/>
      <c r="T135" s="289"/>
      <c r="U135" s="289"/>
      <c r="V135" s="311"/>
      <c r="W135" s="249"/>
      <c r="X135" s="249"/>
      <c r="Y135" s="249"/>
      <c r="Z135" s="249"/>
      <c r="AA135" s="249"/>
      <c r="AB135" s="249"/>
      <c r="AC135" s="249"/>
      <c r="AD135" s="249"/>
      <c r="AE135" s="249"/>
      <c r="AF135" s="249"/>
    </row>
    <row r="136" spans="1:33" s="175" customFormat="1" ht="14.25" customHeight="1" thickBot="1" x14ac:dyDescent="0.25">
      <c r="A136" s="213" t="s">
        <v>1161</v>
      </c>
      <c r="B136" s="327">
        <v>47.220315483820301</v>
      </c>
      <c r="C136" s="328">
        <v>47.536426525428297</v>
      </c>
      <c r="D136" s="329">
        <v>47.339730554143301</v>
      </c>
      <c r="E136" s="328">
        <v>51.222606871229999</v>
      </c>
      <c r="F136" s="329">
        <v>52.441623956851899</v>
      </c>
      <c r="G136" s="328">
        <v>55.735074825584398</v>
      </c>
      <c r="H136" s="328">
        <v>56.560968511727999</v>
      </c>
      <c r="I136" s="329">
        <v>49.862220533970003</v>
      </c>
      <c r="J136" s="328">
        <v>48.259632399109499</v>
      </c>
      <c r="K136" s="329">
        <v>35.327967097532301</v>
      </c>
      <c r="L136" s="329">
        <v>0</v>
      </c>
      <c r="M136" s="328">
        <v>0</v>
      </c>
      <c r="N136" s="329">
        <v>49.8876197263397</v>
      </c>
      <c r="P136" s="277"/>
      <c r="Q136" s="277"/>
      <c r="R136" s="277"/>
      <c r="S136" s="277"/>
      <c r="T136" s="277"/>
      <c r="U136" s="277"/>
      <c r="V136" s="335"/>
      <c r="W136" s="277"/>
      <c r="X136" s="277"/>
      <c r="Y136" s="277"/>
      <c r="Z136" s="277"/>
      <c r="AA136" s="336"/>
      <c r="AB136" s="277"/>
    </row>
    <row r="137" spans="1:33" s="179" customFormat="1" ht="12.75" customHeight="1" thickTop="1" x14ac:dyDescent="0.2">
      <c r="A137" s="222" t="s">
        <v>1208</v>
      </c>
      <c r="B137" s="330">
        <v>29.5</v>
      </c>
      <c r="C137" s="331">
        <v>11.6666666666666</v>
      </c>
      <c r="D137" s="331">
        <v>23.3888888888888</v>
      </c>
      <c r="E137" s="331">
        <v>39.071428571428498</v>
      </c>
      <c r="F137" s="331">
        <v>28.875</v>
      </c>
      <c r="G137" s="331">
        <v>0</v>
      </c>
      <c r="H137" s="331">
        <v>0</v>
      </c>
      <c r="I137" s="331">
        <v>1</v>
      </c>
      <c r="J137" s="331">
        <v>0</v>
      </c>
      <c r="K137" s="331">
        <v>0</v>
      </c>
      <c r="L137" s="331">
        <v>0</v>
      </c>
      <c r="M137" s="331">
        <v>0</v>
      </c>
      <c r="N137" s="331">
        <v>28.130434782608699</v>
      </c>
      <c r="O137" s="194"/>
      <c r="P137" s="194"/>
      <c r="Q137" s="194"/>
      <c r="R137" s="289"/>
      <c r="S137" s="289"/>
      <c r="T137" s="289"/>
      <c r="U137" s="289"/>
      <c r="V137" s="337"/>
      <c r="W137" s="249"/>
      <c r="X137" s="249"/>
      <c r="Y137" s="249"/>
      <c r="Z137" s="249"/>
      <c r="AA137" s="249"/>
      <c r="AB137" s="249"/>
      <c r="AC137" s="249"/>
    </row>
    <row r="138" spans="1:33" s="179" customFormat="1" ht="12.75" customHeight="1" x14ac:dyDescent="0.2">
      <c r="A138" s="229" t="s">
        <v>1209</v>
      </c>
      <c r="B138" s="330">
        <v>47.221242642249798</v>
      </c>
      <c r="C138" s="331">
        <v>47.539334648542003</v>
      </c>
      <c r="D138" s="331">
        <v>47.350694267839799</v>
      </c>
      <c r="E138" s="331">
        <v>51.227069996851696</v>
      </c>
      <c r="F138" s="331">
        <v>52.4466840226522</v>
      </c>
      <c r="G138" s="331">
        <v>55.735074825584398</v>
      </c>
      <c r="H138" s="331">
        <v>56.560968511727999</v>
      </c>
      <c r="I138" s="331">
        <v>49.863546330212998</v>
      </c>
      <c r="J138" s="331">
        <v>48.259632399109499</v>
      </c>
      <c r="K138" s="331">
        <v>35.327967097532301</v>
      </c>
      <c r="L138" s="331">
        <v>0</v>
      </c>
      <c r="M138" s="331">
        <v>0</v>
      </c>
      <c r="N138" s="331">
        <v>49.890473095103602</v>
      </c>
      <c r="O138" s="194"/>
      <c r="P138" s="194"/>
      <c r="Q138" s="194"/>
      <c r="R138" s="289"/>
      <c r="S138" s="289"/>
      <c r="T138" s="289"/>
      <c r="U138" s="289"/>
      <c r="V138" s="337"/>
      <c r="W138" s="249"/>
      <c r="X138" s="249"/>
      <c r="Y138" s="249"/>
      <c r="Z138" s="249"/>
      <c r="AA138" s="249"/>
      <c r="AB138" s="249"/>
      <c r="AC138" s="249"/>
    </row>
    <row r="139" spans="1:33" s="179" customFormat="1" ht="12.75" customHeight="1" x14ac:dyDescent="0.2">
      <c r="A139" s="235"/>
      <c r="B139" s="338"/>
      <c r="C139" s="338"/>
      <c r="D139" s="338"/>
      <c r="E139" s="338"/>
      <c r="F139" s="338"/>
      <c r="G139" s="338"/>
      <c r="H139" s="338"/>
      <c r="I139" s="338"/>
      <c r="J139" s="338"/>
      <c r="K139" s="338"/>
      <c r="L139" s="338"/>
      <c r="M139" s="338"/>
      <c r="N139" s="338"/>
      <c r="O139" s="194"/>
      <c r="P139" s="194"/>
      <c r="Q139" s="194"/>
      <c r="R139" s="194"/>
      <c r="S139" s="194"/>
      <c r="T139" s="194"/>
      <c r="U139" s="194"/>
      <c r="V139" s="339"/>
    </row>
    <row r="140" spans="1:33" s="179" customFormat="1" ht="12" customHeight="1" x14ac:dyDescent="0.2">
      <c r="A140" s="332" t="s">
        <v>1266</v>
      </c>
      <c r="B140" s="177"/>
      <c r="C140" s="177"/>
      <c r="D140" s="177"/>
      <c r="E140" s="177"/>
      <c r="F140" s="177"/>
      <c r="G140" s="177"/>
      <c r="H140" s="177"/>
      <c r="I140" s="177"/>
      <c r="J140" s="177"/>
      <c r="K140" s="177"/>
      <c r="L140" s="177"/>
      <c r="M140" s="177"/>
      <c r="N140" s="177"/>
      <c r="O140" s="194"/>
      <c r="P140" s="194"/>
      <c r="Q140" s="194"/>
      <c r="R140" s="289"/>
      <c r="S140" s="289"/>
      <c r="T140" s="289"/>
      <c r="U140" s="289"/>
      <c r="V140" s="337"/>
      <c r="W140" s="249"/>
      <c r="X140" s="249"/>
      <c r="Y140" s="249"/>
      <c r="Z140" s="249"/>
      <c r="AA140" s="249"/>
      <c r="AB140" s="249"/>
      <c r="AC140" s="249"/>
    </row>
    <row r="141" spans="1:33" s="179" customFormat="1" ht="12" customHeight="1" x14ac:dyDescent="0.2">
      <c r="A141" s="205" t="s">
        <v>1267</v>
      </c>
      <c r="B141" s="206" t="s">
        <v>1224</v>
      </c>
      <c r="C141" s="206" t="s">
        <v>1225</v>
      </c>
      <c r="D141" s="206" t="s">
        <v>1226</v>
      </c>
      <c r="E141" s="206" t="s">
        <v>1227</v>
      </c>
      <c r="F141" s="206" t="s">
        <v>1228</v>
      </c>
      <c r="G141" s="206" t="s">
        <v>1229</v>
      </c>
      <c r="H141" s="206" t="s">
        <v>1230</v>
      </c>
      <c r="I141" s="206" t="s">
        <v>1231</v>
      </c>
      <c r="J141" s="206" t="s">
        <v>1232</v>
      </c>
      <c r="K141" s="206" t="s">
        <v>1233</v>
      </c>
      <c r="L141" s="206" t="s">
        <v>1234</v>
      </c>
      <c r="M141" s="206" t="s">
        <v>1235</v>
      </c>
      <c r="N141" s="206" t="s">
        <v>1259</v>
      </c>
      <c r="O141" s="194"/>
      <c r="P141" s="194"/>
      <c r="Q141" s="194"/>
      <c r="R141" s="289"/>
      <c r="S141" s="289"/>
      <c r="T141" s="289"/>
      <c r="U141" s="289"/>
      <c r="V141" s="337"/>
      <c r="W141" s="249"/>
      <c r="X141" s="249"/>
      <c r="Y141" s="249"/>
      <c r="Z141" s="249"/>
      <c r="AA141" s="249"/>
      <c r="AB141" s="249"/>
      <c r="AC141" s="249"/>
    </row>
    <row r="142" spans="1:33" ht="15" customHeight="1" thickBot="1" x14ac:dyDescent="0.3">
      <c r="A142" s="213" t="s">
        <v>1161</v>
      </c>
      <c r="B142" s="327">
        <v>47.220315483820301</v>
      </c>
      <c r="C142" s="328">
        <v>47.536426525428297</v>
      </c>
      <c r="D142" s="329">
        <v>47.339730554143301</v>
      </c>
      <c r="E142" s="328">
        <v>51.222606871229999</v>
      </c>
      <c r="F142" s="329">
        <v>52.441623956851899</v>
      </c>
      <c r="G142" s="328">
        <v>55.735074825584398</v>
      </c>
      <c r="H142" s="328">
        <v>56.560968511727999</v>
      </c>
      <c r="I142" s="329">
        <v>49.862220533970003</v>
      </c>
      <c r="J142" s="328">
        <v>48.259632399109499</v>
      </c>
      <c r="K142" s="329">
        <v>35.327967097532301</v>
      </c>
      <c r="L142" s="329">
        <v>0</v>
      </c>
      <c r="M142" s="328">
        <v>0</v>
      </c>
      <c r="N142" s="329">
        <v>49.8876197263397</v>
      </c>
      <c r="V142" s="339"/>
    </row>
    <row r="143" spans="1:33" ht="15" customHeight="1" thickTop="1" x14ac:dyDescent="0.25">
      <c r="A143" s="222" t="s">
        <v>1038</v>
      </c>
      <c r="B143" s="330">
        <v>74.642291810048107</v>
      </c>
      <c r="C143" s="331">
        <v>92.031147898061405</v>
      </c>
      <c r="D143" s="331">
        <v>96.185313970137003</v>
      </c>
      <c r="E143" s="331">
        <v>100.397352531351</v>
      </c>
      <c r="F143" s="331">
        <v>94.550790067720001</v>
      </c>
      <c r="G143" s="331">
        <v>97.936950514945906</v>
      </c>
      <c r="H143" s="331">
        <v>98.540099921114901</v>
      </c>
      <c r="I143" s="331">
        <v>80.347593582887697</v>
      </c>
      <c r="J143" s="331">
        <v>77.899819261554299</v>
      </c>
      <c r="K143" s="331">
        <v>59.4980872226472</v>
      </c>
      <c r="L143" s="331">
        <v>0</v>
      </c>
      <c r="M143" s="331">
        <v>0</v>
      </c>
      <c r="N143" s="331">
        <v>88.909555633135497</v>
      </c>
      <c r="V143" s="339"/>
    </row>
    <row r="144" spans="1:33" x14ac:dyDescent="0.25">
      <c r="A144" s="229" t="s">
        <v>1057</v>
      </c>
      <c r="B144" s="330">
        <v>42.303563165201297</v>
      </c>
      <c r="C144" s="331">
        <v>41.234551904982197</v>
      </c>
      <c r="D144" s="331">
        <v>40.407970741052502</v>
      </c>
      <c r="E144" s="331">
        <v>44.962364001892098</v>
      </c>
      <c r="F144" s="331">
        <v>47.396875000000001</v>
      </c>
      <c r="G144" s="331">
        <v>50.7308849373008</v>
      </c>
      <c r="H144" s="331">
        <v>51.336758401780102</v>
      </c>
      <c r="I144" s="331">
        <v>46.609824940696001</v>
      </c>
      <c r="J144" s="331">
        <v>44.576127065618401</v>
      </c>
      <c r="K144" s="331">
        <v>33.3175077960924</v>
      </c>
      <c r="L144" s="331">
        <v>0</v>
      </c>
      <c r="M144" s="331">
        <v>0</v>
      </c>
      <c r="N144" s="331">
        <v>44.8510321920321</v>
      </c>
      <c r="O144" s="340"/>
      <c r="V144" s="339"/>
    </row>
    <row r="145" spans="1:23" x14ac:dyDescent="0.25">
      <c r="A145" s="236"/>
      <c r="B145" s="338"/>
      <c r="C145" s="338"/>
      <c r="D145" s="338"/>
      <c r="E145" s="338"/>
      <c r="F145" s="338"/>
      <c r="G145" s="338"/>
      <c r="H145" s="338"/>
      <c r="I145" s="338"/>
      <c r="J145" s="338"/>
      <c r="K145" s="341"/>
      <c r="L145" s="338"/>
      <c r="M145" s="338"/>
      <c r="N145" s="342"/>
      <c r="O145" s="340"/>
      <c r="V145" s="339"/>
    </row>
    <row r="146" spans="1:23" x14ac:dyDescent="0.25">
      <c r="A146" s="343" t="s">
        <v>1268</v>
      </c>
      <c r="B146" s="338"/>
      <c r="C146" s="338"/>
      <c r="D146" s="338"/>
      <c r="E146" s="338"/>
      <c r="F146" s="338"/>
      <c r="G146" s="338"/>
      <c r="H146" s="338"/>
      <c r="I146" s="338"/>
      <c r="J146" s="338"/>
      <c r="K146" s="341"/>
      <c r="L146" s="338"/>
      <c r="M146" s="338"/>
      <c r="N146" s="342"/>
      <c r="O146" s="340"/>
      <c r="V146" s="339"/>
    </row>
    <row r="147" spans="1:23" x14ac:dyDescent="0.25">
      <c r="A147" s="205" t="s">
        <v>1269</v>
      </c>
      <c r="B147" s="344" t="s">
        <v>1224</v>
      </c>
      <c r="C147" s="344" t="s">
        <v>1225</v>
      </c>
      <c r="D147" s="344" t="s">
        <v>1226</v>
      </c>
      <c r="E147" s="344" t="s">
        <v>1227</v>
      </c>
      <c r="F147" s="344" t="s">
        <v>1228</v>
      </c>
      <c r="G147" s="344" t="s">
        <v>1229</v>
      </c>
      <c r="H147" s="344" t="s">
        <v>1230</v>
      </c>
      <c r="I147" s="344" t="s">
        <v>1231</v>
      </c>
      <c r="J147" s="344" t="s">
        <v>1232</v>
      </c>
      <c r="K147" s="344" t="s">
        <v>1233</v>
      </c>
      <c r="L147" s="344" t="s">
        <v>1234</v>
      </c>
      <c r="M147" s="344" t="s">
        <v>1235</v>
      </c>
      <c r="N147" s="344" t="s">
        <v>1259</v>
      </c>
      <c r="O147" s="340"/>
      <c r="V147" s="339"/>
      <c r="W147" s="179"/>
    </row>
    <row r="148" spans="1:23" x14ac:dyDescent="0.25">
      <c r="A148" s="345" t="s">
        <v>1213</v>
      </c>
      <c r="B148" s="265">
        <v>2</v>
      </c>
      <c r="C148" s="322">
        <v>2</v>
      </c>
      <c r="D148" s="322">
        <v>3</v>
      </c>
      <c r="E148" s="322">
        <v>0</v>
      </c>
      <c r="F148" s="322">
        <v>0</v>
      </c>
      <c r="G148" s="322">
        <v>2</v>
      </c>
      <c r="H148" s="322">
        <v>0</v>
      </c>
      <c r="I148" s="322">
        <v>2</v>
      </c>
      <c r="J148" s="322">
        <v>1</v>
      </c>
      <c r="K148" s="322">
        <v>2</v>
      </c>
      <c r="L148" s="322">
        <v>0</v>
      </c>
      <c r="M148" s="322">
        <v>0</v>
      </c>
      <c r="N148" s="322">
        <f>SUM(B148:M148)</f>
        <v>14</v>
      </c>
      <c r="O148" s="340"/>
      <c r="V148" s="339"/>
      <c r="W148" s="179"/>
    </row>
    <row r="149" spans="1:23" x14ac:dyDescent="0.25">
      <c r="A149" s="345" t="s">
        <v>1270</v>
      </c>
      <c r="B149" s="265">
        <v>0</v>
      </c>
      <c r="C149" s="322">
        <v>0</v>
      </c>
      <c r="D149" s="322">
        <v>0</v>
      </c>
      <c r="E149" s="322">
        <v>0</v>
      </c>
      <c r="F149" s="322">
        <v>0</v>
      </c>
      <c r="G149" s="322">
        <v>0</v>
      </c>
      <c r="H149" s="322">
        <v>0</v>
      </c>
      <c r="I149" s="322">
        <v>0</v>
      </c>
      <c r="J149" s="322">
        <v>0</v>
      </c>
      <c r="K149" s="322">
        <v>0</v>
      </c>
      <c r="L149" s="322">
        <v>0</v>
      </c>
      <c r="M149" s="322">
        <v>0</v>
      </c>
      <c r="N149" s="322">
        <f>SUM(B149:M149)</f>
        <v>0</v>
      </c>
      <c r="O149" s="340"/>
      <c r="V149" s="339"/>
      <c r="W149" s="179"/>
    </row>
    <row r="150" spans="1:23" x14ac:dyDescent="0.25">
      <c r="A150" s="346" t="s">
        <v>1271</v>
      </c>
      <c r="B150" s="265">
        <v>409</v>
      </c>
      <c r="C150" s="322">
        <v>444</v>
      </c>
      <c r="D150" s="322">
        <v>512</v>
      </c>
      <c r="E150" s="322">
        <v>640</v>
      </c>
      <c r="F150" s="322">
        <v>629</v>
      </c>
      <c r="G150" s="322">
        <v>622</v>
      </c>
      <c r="H150" s="322">
        <v>632</v>
      </c>
      <c r="I150" s="322">
        <v>512</v>
      </c>
      <c r="J150" s="322">
        <v>524</v>
      </c>
      <c r="K150" s="322">
        <v>553</v>
      </c>
      <c r="L150" s="322">
        <v>877</v>
      </c>
      <c r="M150" s="322">
        <v>697</v>
      </c>
      <c r="N150" s="322">
        <f>SUM(B150:M150)</f>
        <v>7051</v>
      </c>
      <c r="O150" s="340"/>
      <c r="V150" s="339"/>
      <c r="W150" s="179"/>
    </row>
    <row r="151" spans="1:23" x14ac:dyDescent="0.25">
      <c r="A151" s="347"/>
      <c r="B151" s="236"/>
      <c r="C151" s="348"/>
      <c r="D151" s="348"/>
      <c r="E151" s="348"/>
      <c r="F151" s="348"/>
      <c r="G151" s="348"/>
      <c r="H151" s="348"/>
      <c r="I151" s="348"/>
      <c r="J151" s="348"/>
      <c r="K151" s="348"/>
      <c r="L151" s="341"/>
      <c r="M151" s="348"/>
      <c r="N151" s="348"/>
      <c r="O151" s="340"/>
      <c r="P151" s="340"/>
      <c r="V151" s="339"/>
      <c r="W151" s="179"/>
    </row>
    <row r="152" spans="1:23" x14ac:dyDescent="0.25">
      <c r="A152" s="343" t="s">
        <v>1272</v>
      </c>
      <c r="B152" s="338"/>
      <c r="C152" s="338"/>
      <c r="D152" s="338"/>
      <c r="E152" s="338"/>
      <c r="F152" s="338"/>
      <c r="G152" s="338"/>
      <c r="H152" s="338"/>
      <c r="I152" s="338"/>
      <c r="J152" s="338"/>
      <c r="K152" s="341"/>
      <c r="L152" s="338"/>
      <c r="M152" s="338"/>
      <c r="N152" s="342"/>
      <c r="O152" s="340"/>
      <c r="V152" s="339"/>
    </row>
    <row r="153" spans="1:23" x14ac:dyDescent="0.25">
      <c r="A153" s="205" t="s">
        <v>1269</v>
      </c>
      <c r="B153" s="205" t="s">
        <v>1273</v>
      </c>
      <c r="C153" s="344" t="s">
        <v>1224</v>
      </c>
      <c r="D153" s="344" t="s">
        <v>1225</v>
      </c>
      <c r="E153" s="344" t="s">
        <v>1226</v>
      </c>
      <c r="F153" s="344" t="s">
        <v>1227</v>
      </c>
      <c r="G153" s="344" t="s">
        <v>1228</v>
      </c>
      <c r="H153" s="344" t="s">
        <v>1229</v>
      </c>
      <c r="I153" s="344" t="s">
        <v>1230</v>
      </c>
      <c r="J153" s="344" t="s">
        <v>1231</v>
      </c>
      <c r="K153" s="344" t="s">
        <v>1232</v>
      </c>
      <c r="L153" s="344" t="s">
        <v>1233</v>
      </c>
      <c r="M153" s="344" t="s">
        <v>1234</v>
      </c>
      <c r="N153" s="344" t="s">
        <v>1235</v>
      </c>
      <c r="O153" s="344" t="s">
        <v>1259</v>
      </c>
      <c r="P153" s="340"/>
      <c r="V153" s="339"/>
    </row>
    <row r="154" spans="1:23" x14ac:dyDescent="0.25">
      <c r="A154" s="349" t="s">
        <v>1213</v>
      </c>
      <c r="B154" s="264" t="s">
        <v>1274</v>
      </c>
      <c r="C154" s="265">
        <v>0</v>
      </c>
      <c r="D154" s="322">
        <v>0</v>
      </c>
      <c r="E154" s="322">
        <v>0</v>
      </c>
      <c r="F154" s="322">
        <v>0</v>
      </c>
      <c r="G154" s="322">
        <v>0</v>
      </c>
      <c r="H154" s="322">
        <v>0</v>
      </c>
      <c r="I154" s="322">
        <v>0</v>
      </c>
      <c r="J154" s="322">
        <v>1</v>
      </c>
      <c r="K154" s="322">
        <v>0</v>
      </c>
      <c r="L154" s="322">
        <v>0</v>
      </c>
      <c r="M154" s="322">
        <v>0</v>
      </c>
      <c r="N154" s="322">
        <v>0</v>
      </c>
      <c r="O154" s="350">
        <f t="shared" ref="O154:O159" si="17">SUM(C154:N154)</f>
        <v>1</v>
      </c>
      <c r="P154" s="340"/>
      <c r="V154" s="339"/>
    </row>
    <row r="155" spans="1:23" x14ac:dyDescent="0.25">
      <c r="A155" s="351"/>
      <c r="B155" s="264" t="s">
        <v>1275</v>
      </c>
      <c r="C155" s="265">
        <v>1</v>
      </c>
      <c r="D155" s="322">
        <v>3</v>
      </c>
      <c r="E155" s="322">
        <v>2</v>
      </c>
      <c r="F155" s="322">
        <v>0</v>
      </c>
      <c r="G155" s="322">
        <v>0</v>
      </c>
      <c r="H155" s="322">
        <v>2</v>
      </c>
      <c r="I155" s="322">
        <v>0</v>
      </c>
      <c r="J155" s="322">
        <v>1</v>
      </c>
      <c r="K155" s="322">
        <v>0</v>
      </c>
      <c r="L155" s="322">
        <v>2</v>
      </c>
      <c r="M155" s="322">
        <v>0</v>
      </c>
      <c r="N155" s="322">
        <v>0</v>
      </c>
      <c r="O155" s="350">
        <f t="shared" si="17"/>
        <v>11</v>
      </c>
      <c r="P155" s="340"/>
      <c r="V155" s="339"/>
    </row>
    <row r="156" spans="1:23" x14ac:dyDescent="0.25">
      <c r="A156" s="349" t="s">
        <v>1270</v>
      </c>
      <c r="B156" s="264" t="s">
        <v>1274</v>
      </c>
      <c r="C156" s="265">
        <v>0</v>
      </c>
      <c r="D156" s="322">
        <v>0</v>
      </c>
      <c r="E156" s="322">
        <v>0</v>
      </c>
      <c r="F156" s="322">
        <v>0</v>
      </c>
      <c r="G156" s="322">
        <v>0</v>
      </c>
      <c r="H156" s="322">
        <v>0</v>
      </c>
      <c r="I156" s="322">
        <v>0</v>
      </c>
      <c r="J156" s="322">
        <v>0</v>
      </c>
      <c r="K156" s="322">
        <v>0</v>
      </c>
      <c r="L156" s="322">
        <v>0</v>
      </c>
      <c r="M156" s="322">
        <v>0</v>
      </c>
      <c r="N156" s="322">
        <v>0</v>
      </c>
      <c r="O156" s="350">
        <f t="shared" si="17"/>
        <v>0</v>
      </c>
      <c r="P156" s="340"/>
      <c r="V156" s="339"/>
    </row>
    <row r="157" spans="1:23" x14ac:dyDescent="0.25">
      <c r="A157" s="351"/>
      <c r="B157" s="264" t="s">
        <v>1275</v>
      </c>
      <c r="C157" s="265">
        <v>0</v>
      </c>
      <c r="D157" s="322">
        <v>0</v>
      </c>
      <c r="E157" s="322">
        <v>0</v>
      </c>
      <c r="F157" s="322">
        <v>0</v>
      </c>
      <c r="G157" s="322">
        <v>0</v>
      </c>
      <c r="H157" s="322">
        <v>0</v>
      </c>
      <c r="I157" s="322">
        <v>0</v>
      </c>
      <c r="J157" s="322">
        <v>0</v>
      </c>
      <c r="K157" s="322">
        <v>0</v>
      </c>
      <c r="L157" s="322">
        <v>0</v>
      </c>
      <c r="M157" s="322">
        <v>0</v>
      </c>
      <c r="N157" s="322">
        <v>0</v>
      </c>
      <c r="O157" s="350">
        <f t="shared" si="17"/>
        <v>0</v>
      </c>
      <c r="P157" s="340"/>
      <c r="V157" s="339"/>
    </row>
    <row r="158" spans="1:23" x14ac:dyDescent="0.25">
      <c r="A158" s="349" t="s">
        <v>1271</v>
      </c>
      <c r="B158" s="264" t="s">
        <v>1274</v>
      </c>
      <c r="C158" s="265">
        <v>322</v>
      </c>
      <c r="D158" s="322">
        <v>355</v>
      </c>
      <c r="E158" s="322">
        <v>351</v>
      </c>
      <c r="F158" s="322">
        <v>388</v>
      </c>
      <c r="G158" s="322">
        <v>376</v>
      </c>
      <c r="H158" s="322">
        <v>452</v>
      </c>
      <c r="I158" s="322">
        <v>434</v>
      </c>
      <c r="J158" s="322">
        <v>332</v>
      </c>
      <c r="K158" s="322">
        <v>354</v>
      </c>
      <c r="L158" s="322">
        <v>323</v>
      </c>
      <c r="M158" s="322">
        <v>575</v>
      </c>
      <c r="N158" s="322">
        <v>409</v>
      </c>
      <c r="O158" s="350">
        <f t="shared" si="17"/>
        <v>4671</v>
      </c>
      <c r="P158" s="340"/>
      <c r="V158" s="339"/>
    </row>
    <row r="159" spans="1:23" x14ac:dyDescent="0.25">
      <c r="A159" s="351"/>
      <c r="B159" s="264" t="s">
        <v>1275</v>
      </c>
      <c r="C159" s="265">
        <v>54</v>
      </c>
      <c r="D159" s="322">
        <v>66</v>
      </c>
      <c r="E159" s="322">
        <v>54</v>
      </c>
      <c r="F159" s="322">
        <v>71</v>
      </c>
      <c r="G159" s="322">
        <v>101</v>
      </c>
      <c r="H159" s="322">
        <v>79</v>
      </c>
      <c r="I159" s="322">
        <v>123</v>
      </c>
      <c r="J159" s="322">
        <v>115</v>
      </c>
      <c r="K159" s="322">
        <v>112</v>
      </c>
      <c r="L159" s="322">
        <v>167</v>
      </c>
      <c r="M159" s="322">
        <v>196</v>
      </c>
      <c r="N159" s="322">
        <v>222</v>
      </c>
      <c r="O159" s="350">
        <f t="shared" si="17"/>
        <v>1360</v>
      </c>
      <c r="P159" s="340"/>
      <c r="V159" s="339"/>
    </row>
    <row r="160" spans="1:23" x14ac:dyDescent="0.25">
      <c r="B160" s="340"/>
      <c r="C160" s="340"/>
      <c r="D160" s="340"/>
      <c r="E160" s="340"/>
      <c r="F160" s="340"/>
      <c r="G160" s="340"/>
      <c r="H160" s="340"/>
      <c r="I160" s="340"/>
      <c r="J160" s="340"/>
      <c r="K160" s="340"/>
      <c r="L160" s="340"/>
      <c r="M160" s="340"/>
      <c r="V160" s="339"/>
    </row>
    <row r="161" spans="1:22" ht="15" customHeight="1" thickBot="1" x14ac:dyDescent="0.3">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3"/>
    </row>
    <row r="162" spans="1:22" x14ac:dyDescent="0.25">
      <c r="B162" s="354"/>
      <c r="C162" s="354"/>
      <c r="D162" s="354"/>
      <c r="E162" s="354"/>
      <c r="F162" s="354"/>
      <c r="G162" s="354"/>
      <c r="H162" s="354"/>
      <c r="I162" s="354"/>
      <c r="J162" s="354"/>
      <c r="K162" s="354"/>
      <c r="L162" s="354"/>
      <c r="M162" s="354"/>
      <c r="P162" s="354"/>
    </row>
    <row r="163" spans="1:22" ht="15" customHeight="1" thickBot="1" x14ac:dyDescent="0.3">
      <c r="A163" s="355" t="s">
        <v>1276</v>
      </c>
      <c r="B163" s="181"/>
      <c r="C163" s="181"/>
      <c r="D163" s="181"/>
      <c r="E163" s="181"/>
      <c r="F163" s="181"/>
      <c r="G163" s="181"/>
      <c r="H163" s="181"/>
      <c r="I163" s="181"/>
      <c r="J163" s="181"/>
      <c r="K163" s="181"/>
      <c r="L163" s="181"/>
      <c r="M163" s="181"/>
      <c r="N163" s="181"/>
    </row>
    <row r="164" spans="1:22" x14ac:dyDescent="0.25">
      <c r="A164" s="356" t="s">
        <v>1277</v>
      </c>
      <c r="B164" s="357" t="s">
        <v>1278</v>
      </c>
      <c r="C164" s="358" t="s">
        <v>1161</v>
      </c>
      <c r="D164" s="354"/>
      <c r="E164" s="354"/>
      <c r="F164" s="354"/>
      <c r="G164" s="354"/>
      <c r="H164" s="354"/>
      <c r="I164" s="354"/>
      <c r="J164" s="354"/>
      <c r="K164" s="354"/>
      <c r="L164" s="354"/>
      <c r="M164" s="340"/>
      <c r="P164" s="354"/>
    </row>
    <row r="165" spans="1:22" ht="15" customHeight="1" thickBot="1" x14ac:dyDescent="0.3">
      <c r="A165" s="359" t="s">
        <v>1161</v>
      </c>
      <c r="B165" s="360"/>
      <c r="C165" s="361">
        <f>SUM(C166:C192)</f>
        <v>38</v>
      </c>
      <c r="D165" s="354"/>
      <c r="E165" s="354"/>
      <c r="F165" s="354"/>
      <c r="G165" s="354"/>
      <c r="H165" s="340"/>
      <c r="I165" s="340"/>
    </row>
    <row r="166" spans="1:22" ht="15" customHeight="1" thickTop="1" x14ac:dyDescent="0.25">
      <c r="A166" s="362" t="s">
        <v>44</v>
      </c>
      <c r="B166" s="256" t="s">
        <v>1279</v>
      </c>
      <c r="C166" s="363">
        <v>3</v>
      </c>
      <c r="D166" s="340"/>
      <c r="E166" s="354"/>
      <c r="F166" s="340"/>
    </row>
    <row r="167" spans="1:22" x14ac:dyDescent="0.25">
      <c r="A167" s="364" t="s">
        <v>55</v>
      </c>
      <c r="B167" s="262" t="s">
        <v>1280</v>
      </c>
      <c r="C167" s="365">
        <v>1</v>
      </c>
    </row>
    <row r="168" spans="1:22" ht="15" customHeight="1" x14ac:dyDescent="0.25">
      <c r="A168" s="364" t="s">
        <v>1281</v>
      </c>
      <c r="B168" s="262" t="s">
        <v>1282</v>
      </c>
      <c r="C168" s="365">
        <v>1</v>
      </c>
    </row>
    <row r="169" spans="1:22" x14ac:dyDescent="0.25">
      <c r="A169" s="364" t="s">
        <v>89</v>
      </c>
      <c r="B169" s="262" t="s">
        <v>1283</v>
      </c>
      <c r="C169" s="365">
        <v>1</v>
      </c>
    </row>
    <row r="170" spans="1:22" x14ac:dyDescent="0.25">
      <c r="A170" s="364" t="s">
        <v>1284</v>
      </c>
      <c r="B170" s="262" t="s">
        <v>1285</v>
      </c>
      <c r="C170" s="365">
        <v>1</v>
      </c>
    </row>
    <row r="171" spans="1:22" x14ac:dyDescent="0.25">
      <c r="A171" s="364" t="s">
        <v>1286</v>
      </c>
      <c r="B171" s="262" t="s">
        <v>1287</v>
      </c>
      <c r="C171" s="365">
        <v>2</v>
      </c>
    </row>
    <row r="172" spans="1:22" x14ac:dyDescent="0.25">
      <c r="A172" s="364" t="s">
        <v>151</v>
      </c>
      <c r="B172" s="262" t="s">
        <v>1288</v>
      </c>
      <c r="C172" s="365">
        <v>1</v>
      </c>
    </row>
    <row r="173" spans="1:22" x14ac:dyDescent="0.25">
      <c r="A173" s="364" t="s">
        <v>1289</v>
      </c>
      <c r="B173" s="262" t="s">
        <v>1290</v>
      </c>
      <c r="C173" s="365">
        <v>3</v>
      </c>
    </row>
    <row r="174" spans="1:22" x14ac:dyDescent="0.25">
      <c r="A174" s="364" t="s">
        <v>1291</v>
      </c>
      <c r="B174" s="262" t="s">
        <v>1292</v>
      </c>
      <c r="C174" s="365">
        <v>2</v>
      </c>
    </row>
    <row r="175" spans="1:22" x14ac:dyDescent="0.25">
      <c r="A175" s="364" t="s">
        <v>1293</v>
      </c>
      <c r="B175" s="262" t="s">
        <v>1294</v>
      </c>
      <c r="C175" s="365">
        <v>1</v>
      </c>
    </row>
    <row r="176" spans="1:22" x14ac:dyDescent="0.25">
      <c r="A176" s="364" t="s">
        <v>1295</v>
      </c>
      <c r="B176" s="262" t="s">
        <v>1296</v>
      </c>
      <c r="C176" s="365">
        <v>1</v>
      </c>
    </row>
    <row r="177" spans="1:3" x14ac:dyDescent="0.25">
      <c r="A177" s="364" t="s">
        <v>340</v>
      </c>
      <c r="B177" s="262" t="s">
        <v>1297</v>
      </c>
      <c r="C177" s="365">
        <v>1</v>
      </c>
    </row>
    <row r="178" spans="1:3" x14ac:dyDescent="0.25">
      <c r="A178" s="364" t="s">
        <v>365</v>
      </c>
      <c r="B178" s="262" t="s">
        <v>1298</v>
      </c>
      <c r="C178" s="365">
        <v>1</v>
      </c>
    </row>
    <row r="179" spans="1:3" x14ac:dyDescent="0.25">
      <c r="A179" s="364" t="s">
        <v>1299</v>
      </c>
      <c r="B179" s="262" t="s">
        <v>1300</v>
      </c>
      <c r="C179" s="365">
        <v>1</v>
      </c>
    </row>
    <row r="180" spans="1:3" x14ac:dyDescent="0.25">
      <c r="A180" s="364" t="s">
        <v>1301</v>
      </c>
      <c r="B180" s="262" t="s">
        <v>1302</v>
      </c>
      <c r="C180" s="365">
        <v>2</v>
      </c>
    </row>
    <row r="181" spans="1:3" x14ac:dyDescent="0.25">
      <c r="A181" s="364" t="s">
        <v>1303</v>
      </c>
      <c r="B181" s="262" t="s">
        <v>1304</v>
      </c>
      <c r="C181" s="365">
        <v>2</v>
      </c>
    </row>
    <row r="182" spans="1:3" x14ac:dyDescent="0.25">
      <c r="A182" s="364" t="s">
        <v>1305</v>
      </c>
      <c r="B182" s="262" t="s">
        <v>1306</v>
      </c>
      <c r="C182" s="365">
        <v>1</v>
      </c>
    </row>
    <row r="183" spans="1:3" x14ac:dyDescent="0.25">
      <c r="A183" s="364" t="s">
        <v>608</v>
      </c>
      <c r="B183" s="262" t="s">
        <v>1307</v>
      </c>
      <c r="C183" s="365">
        <v>1</v>
      </c>
    </row>
    <row r="184" spans="1:3" x14ac:dyDescent="0.25">
      <c r="A184" s="364" t="s">
        <v>642</v>
      </c>
      <c r="B184" s="262" t="s">
        <v>1308</v>
      </c>
      <c r="C184" s="365">
        <v>1</v>
      </c>
    </row>
    <row r="185" spans="1:3" x14ac:dyDescent="0.25">
      <c r="A185" s="364" t="s">
        <v>672</v>
      </c>
      <c r="B185" s="262" t="s">
        <v>1309</v>
      </c>
      <c r="C185" s="365">
        <v>2</v>
      </c>
    </row>
    <row r="186" spans="1:3" x14ac:dyDescent="0.25">
      <c r="A186" s="364" t="s">
        <v>1310</v>
      </c>
      <c r="B186" s="262" t="s">
        <v>1311</v>
      </c>
      <c r="C186" s="365">
        <v>1</v>
      </c>
    </row>
    <row r="187" spans="1:3" x14ac:dyDescent="0.25">
      <c r="A187" s="364" t="s">
        <v>1312</v>
      </c>
      <c r="B187" s="262" t="s">
        <v>1313</v>
      </c>
      <c r="C187" s="365">
        <v>1</v>
      </c>
    </row>
    <row r="188" spans="1:3" x14ac:dyDescent="0.25">
      <c r="A188" s="364" t="s">
        <v>713</v>
      </c>
      <c r="B188" s="262" t="s">
        <v>1314</v>
      </c>
      <c r="C188" s="365">
        <v>1</v>
      </c>
    </row>
    <row r="189" spans="1:3" x14ac:dyDescent="0.25">
      <c r="A189" s="364" t="s">
        <v>762</v>
      </c>
      <c r="B189" s="262" t="s">
        <v>1315</v>
      </c>
      <c r="C189" s="365">
        <v>3</v>
      </c>
    </row>
    <row r="190" spans="1:3" x14ac:dyDescent="0.25">
      <c r="A190" s="364" t="s">
        <v>1316</v>
      </c>
      <c r="B190" s="262" t="s">
        <v>1317</v>
      </c>
      <c r="C190" s="365">
        <v>1</v>
      </c>
    </row>
    <row r="191" spans="1:3" x14ac:dyDescent="0.25">
      <c r="A191" s="364" t="s">
        <v>875</v>
      </c>
      <c r="B191" s="262" t="s">
        <v>1318</v>
      </c>
      <c r="C191" s="365">
        <v>1</v>
      </c>
    </row>
    <row r="192" spans="1:3" ht="15.75" thickBot="1" x14ac:dyDescent="0.3">
      <c r="A192" s="366" t="s">
        <v>940</v>
      </c>
      <c r="B192" s="367" t="s">
        <v>1319</v>
      </c>
      <c r="C192" s="368">
        <v>1</v>
      </c>
    </row>
  </sheetData>
  <mergeCells count="46">
    <mergeCell ref="A156:A157"/>
    <mergeCell ref="A158:A159"/>
    <mergeCell ref="A163:N163"/>
    <mergeCell ref="A111:N111"/>
    <mergeCell ref="A126:V126"/>
    <mergeCell ref="A128:N128"/>
    <mergeCell ref="A134:N134"/>
    <mergeCell ref="A140:N140"/>
    <mergeCell ref="A154:A155"/>
    <mergeCell ref="H31:I31"/>
    <mergeCell ref="A33:V33"/>
    <mergeCell ref="A36:E36"/>
    <mergeCell ref="A92:V92"/>
    <mergeCell ref="A94:N94"/>
    <mergeCell ref="A109:V109"/>
    <mergeCell ref="H28:I28"/>
    <mergeCell ref="N28:O28"/>
    <mergeCell ref="H29:I29"/>
    <mergeCell ref="N29:O29"/>
    <mergeCell ref="H30:I30"/>
    <mergeCell ref="N30:O30"/>
    <mergeCell ref="A18:F18"/>
    <mergeCell ref="I18:V18"/>
    <mergeCell ref="A25:V25"/>
    <mergeCell ref="A27:E27"/>
    <mergeCell ref="H27:L27"/>
    <mergeCell ref="N27:R27"/>
    <mergeCell ref="G10:H10"/>
    <mergeCell ref="N10:O10"/>
    <mergeCell ref="F11:G11"/>
    <mergeCell ref="N11:O11"/>
    <mergeCell ref="N12:O12"/>
    <mergeCell ref="A16:V16"/>
    <mergeCell ref="A4:V4"/>
    <mergeCell ref="A6:V6"/>
    <mergeCell ref="A8:D8"/>
    <mergeCell ref="G8:K8"/>
    <mergeCell ref="N8:R8"/>
    <mergeCell ref="G9:H9"/>
    <mergeCell ref="N9:O9"/>
    <mergeCell ref="A1:D1"/>
    <mergeCell ref="A2:D2"/>
    <mergeCell ref="E2:H2"/>
    <mergeCell ref="I2:L2"/>
    <mergeCell ref="M2:P2"/>
    <mergeCell ref="A3:D3"/>
  </mergeCells>
  <pageMargins left="0.25" right="0.25" top="0.5" bottom="0.25" header="0.3" footer="0.3"/>
  <pageSetup scale="65" fitToWidth="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2AD0-F75F-4918-8059-62F20593E072}">
  <dimension ref="A1:CG48"/>
  <sheetViews>
    <sheetView showGridLines="0" zoomScale="90" zoomScaleNormal="90" workbookViewId="0">
      <pane xSplit="1" topLeftCell="BJ1" activePane="topRight" state="frozen"/>
      <selection pane="topRight"/>
    </sheetView>
  </sheetViews>
  <sheetFormatPr defaultColWidth="9.140625" defaultRowHeight="15.75" x14ac:dyDescent="0.25"/>
  <cols>
    <col min="1" max="1" width="71.140625" style="33" customWidth="1"/>
    <col min="2" max="43" width="9.140625" style="33" customWidth="1"/>
    <col min="44" max="51" width="8.85546875" style="33" customWidth="1"/>
    <col min="52" max="52" width="9.140625" style="33" customWidth="1"/>
    <col min="53" max="16384" width="9.140625" style="33"/>
  </cols>
  <sheetData>
    <row r="1" spans="1:85" x14ac:dyDescent="0.25">
      <c r="A1" s="369" t="s">
        <v>1320</v>
      </c>
    </row>
    <row r="2" spans="1:85" x14ac:dyDescent="0.25">
      <c r="A2" s="369"/>
    </row>
    <row r="3" spans="1:85" x14ac:dyDescent="0.25">
      <c r="A3" s="369"/>
    </row>
    <row r="4" spans="1:85" x14ac:dyDescent="0.25">
      <c r="A4" s="370" t="s">
        <v>1321</v>
      </c>
      <c r="B4" s="371">
        <v>2023</v>
      </c>
      <c r="C4" s="372"/>
      <c r="D4" s="372"/>
      <c r="E4" s="372"/>
      <c r="F4" s="372"/>
      <c r="G4" s="372"/>
      <c r="H4" s="372"/>
      <c r="I4" s="372"/>
      <c r="J4" s="372"/>
      <c r="K4" s="372"/>
      <c r="L4" s="372"/>
      <c r="M4" s="372"/>
      <c r="N4" s="372"/>
      <c r="O4" s="372"/>
      <c r="P4" s="372"/>
      <c r="Q4" s="372"/>
      <c r="R4" s="372"/>
      <c r="S4" s="372"/>
      <c r="T4" s="372"/>
      <c r="U4" s="372"/>
      <c r="V4" s="372"/>
      <c r="W4" s="372"/>
      <c r="X4" s="372"/>
      <c r="Y4" s="373"/>
      <c r="Z4" s="374">
        <v>2024</v>
      </c>
      <c r="AA4" s="374"/>
      <c r="AB4" s="374"/>
      <c r="AC4" s="374"/>
      <c r="AD4" s="374"/>
      <c r="AE4" s="374"/>
      <c r="AF4" s="374"/>
      <c r="AG4" s="374"/>
      <c r="AH4" s="374"/>
      <c r="AI4" s="374"/>
      <c r="AJ4" s="374"/>
      <c r="AK4" s="374"/>
      <c r="AL4" s="374"/>
      <c r="AM4" s="374"/>
      <c r="AN4" s="374"/>
      <c r="AO4" s="374"/>
      <c r="AP4" s="374"/>
      <c r="AQ4" s="374"/>
      <c r="AR4" s="374"/>
      <c r="AS4" s="374"/>
      <c r="AT4" s="374"/>
      <c r="AU4" s="374"/>
      <c r="AV4" s="374"/>
      <c r="AW4" s="375"/>
      <c r="AX4" s="376">
        <v>2025</v>
      </c>
      <c r="AY4" s="376"/>
      <c r="AZ4" s="376"/>
      <c r="BA4" s="376"/>
      <c r="BB4" s="376"/>
      <c r="BC4" s="376"/>
      <c r="BD4" s="376"/>
      <c r="BE4" s="376"/>
      <c r="BF4" s="376"/>
      <c r="BG4" s="376"/>
      <c r="BH4" s="376"/>
      <c r="BI4" s="376"/>
      <c r="BJ4" s="376"/>
      <c r="BK4" s="376"/>
      <c r="BL4" s="376"/>
      <c r="BM4" s="376"/>
      <c r="BN4" s="376"/>
      <c r="BO4" s="376"/>
      <c r="BP4" s="376"/>
      <c r="BQ4" s="376"/>
      <c r="BR4" s="376"/>
      <c r="BS4" s="376"/>
      <c r="BT4" s="376"/>
      <c r="BU4" s="377"/>
      <c r="BV4" s="378"/>
      <c r="BW4" s="378"/>
      <c r="BX4" s="378"/>
      <c r="BY4" s="378"/>
      <c r="BZ4" s="378"/>
      <c r="CA4" s="378"/>
      <c r="CB4" s="378"/>
      <c r="CC4" s="378"/>
      <c r="CD4" s="378"/>
      <c r="CE4" s="378"/>
      <c r="CF4" s="378"/>
      <c r="CG4" s="379"/>
    </row>
    <row r="5" spans="1:85" x14ac:dyDescent="0.25">
      <c r="A5" s="380"/>
      <c r="B5" s="381" t="s">
        <v>1322</v>
      </c>
      <c r="C5" s="227"/>
      <c r="D5" s="381" t="s">
        <v>1323</v>
      </c>
      <c r="E5" s="227"/>
      <c r="F5" s="381" t="s">
        <v>1324</v>
      </c>
      <c r="G5" s="227"/>
      <c r="H5" s="381" t="s">
        <v>1325</v>
      </c>
      <c r="I5" s="227"/>
      <c r="J5" s="381" t="s">
        <v>1231</v>
      </c>
      <c r="K5" s="227"/>
      <c r="L5" s="381" t="s">
        <v>1326</v>
      </c>
      <c r="M5" s="227"/>
      <c r="N5" s="381" t="s">
        <v>1327</v>
      </c>
      <c r="O5" s="227"/>
      <c r="P5" s="381" t="s">
        <v>1328</v>
      </c>
      <c r="Q5" s="227"/>
      <c r="R5" s="381" t="s">
        <v>1329</v>
      </c>
      <c r="S5" s="227"/>
      <c r="T5" s="381" t="s">
        <v>1330</v>
      </c>
      <c r="U5" s="227"/>
      <c r="V5" s="381" t="s">
        <v>1331</v>
      </c>
      <c r="W5" s="227"/>
      <c r="X5" s="381" t="s">
        <v>1332</v>
      </c>
      <c r="Y5" s="227"/>
      <c r="Z5" s="382" t="s">
        <v>1322</v>
      </c>
      <c r="AA5" s="227"/>
      <c r="AB5" s="382" t="s">
        <v>1323</v>
      </c>
      <c r="AC5" s="227"/>
      <c r="AD5" s="382" t="s">
        <v>1324</v>
      </c>
      <c r="AE5" s="227"/>
      <c r="AF5" s="382" t="s">
        <v>1325</v>
      </c>
      <c r="AG5" s="227"/>
      <c r="AH5" s="382" t="s">
        <v>1231</v>
      </c>
      <c r="AI5" s="227"/>
      <c r="AJ5" s="382" t="s">
        <v>1326</v>
      </c>
      <c r="AK5" s="227"/>
      <c r="AL5" s="382" t="s">
        <v>1327</v>
      </c>
      <c r="AM5" s="227"/>
      <c r="AN5" s="382" t="s">
        <v>1328</v>
      </c>
      <c r="AO5" s="227"/>
      <c r="AP5" s="382" t="s">
        <v>1329</v>
      </c>
      <c r="AQ5" s="227"/>
      <c r="AR5" s="382" t="s">
        <v>1330</v>
      </c>
      <c r="AS5" s="227"/>
      <c r="AT5" s="382" t="s">
        <v>1331</v>
      </c>
      <c r="AU5" s="227"/>
      <c r="AV5" s="382" t="s">
        <v>1332</v>
      </c>
      <c r="AW5" s="227"/>
      <c r="AX5" s="383" t="s">
        <v>1322</v>
      </c>
      <c r="AY5" s="227"/>
      <c r="AZ5" s="383" t="s">
        <v>1323</v>
      </c>
      <c r="BA5" s="227"/>
      <c r="BB5" s="383" t="s">
        <v>1324</v>
      </c>
      <c r="BC5" s="227"/>
      <c r="BD5" s="383" t="s">
        <v>1325</v>
      </c>
      <c r="BE5" s="227"/>
      <c r="BF5" s="383" t="s">
        <v>1231</v>
      </c>
      <c r="BG5" s="227"/>
      <c r="BH5" s="383" t="s">
        <v>1326</v>
      </c>
      <c r="BI5" s="227"/>
      <c r="BJ5" s="383" t="s">
        <v>1327</v>
      </c>
      <c r="BK5" s="227"/>
      <c r="BL5" s="383" t="s">
        <v>1328</v>
      </c>
      <c r="BM5" s="227"/>
      <c r="BN5" s="383" t="s">
        <v>1329</v>
      </c>
      <c r="BO5" s="227"/>
      <c r="BP5" s="383" t="s">
        <v>1330</v>
      </c>
      <c r="BQ5" s="227"/>
      <c r="BR5" s="383" t="s">
        <v>1331</v>
      </c>
      <c r="BS5" s="227"/>
      <c r="BT5" s="383" t="s">
        <v>1332</v>
      </c>
      <c r="BU5" s="227"/>
      <c r="BV5" s="384" t="s">
        <v>1322</v>
      </c>
      <c r="BW5" s="385"/>
      <c r="BX5" s="384" t="s">
        <v>1323</v>
      </c>
      <c r="BY5" s="385"/>
      <c r="BZ5" s="384" t="s">
        <v>1324</v>
      </c>
      <c r="CA5" s="385"/>
      <c r="CB5" s="384" t="s">
        <v>1325</v>
      </c>
      <c r="CC5" s="385"/>
      <c r="CD5" s="384" t="s">
        <v>1231</v>
      </c>
      <c r="CE5" s="385"/>
      <c r="CF5" s="384" t="s">
        <v>1326</v>
      </c>
      <c r="CG5" s="385"/>
    </row>
    <row r="6" spans="1:85" x14ac:dyDescent="0.25">
      <c r="A6" s="351"/>
      <c r="B6" s="386" t="s">
        <v>1333</v>
      </c>
      <c r="C6" s="386" t="s">
        <v>1334</v>
      </c>
      <c r="D6" s="386" t="s">
        <v>1333</v>
      </c>
      <c r="E6" s="386" t="s">
        <v>1334</v>
      </c>
      <c r="F6" s="386" t="s">
        <v>1333</v>
      </c>
      <c r="G6" s="386" t="s">
        <v>1334</v>
      </c>
      <c r="H6" s="386" t="s">
        <v>1333</v>
      </c>
      <c r="I6" s="386" t="s">
        <v>1334</v>
      </c>
      <c r="J6" s="386" t="s">
        <v>1333</v>
      </c>
      <c r="K6" s="386" t="s">
        <v>1334</v>
      </c>
      <c r="L6" s="386" t="s">
        <v>1333</v>
      </c>
      <c r="M6" s="386" t="s">
        <v>1334</v>
      </c>
      <c r="N6" s="386" t="s">
        <v>1333</v>
      </c>
      <c r="O6" s="386" t="s">
        <v>1334</v>
      </c>
      <c r="P6" s="386" t="s">
        <v>1333</v>
      </c>
      <c r="Q6" s="386" t="s">
        <v>1334</v>
      </c>
      <c r="R6" s="386" t="s">
        <v>1333</v>
      </c>
      <c r="S6" s="386" t="s">
        <v>1334</v>
      </c>
      <c r="T6" s="386" t="s">
        <v>1333</v>
      </c>
      <c r="U6" s="386" t="s">
        <v>1334</v>
      </c>
      <c r="V6" s="386" t="s">
        <v>1333</v>
      </c>
      <c r="W6" s="386" t="s">
        <v>1334</v>
      </c>
      <c r="X6" s="386" t="s">
        <v>1333</v>
      </c>
      <c r="Y6" s="386" t="s">
        <v>1334</v>
      </c>
      <c r="Z6" s="387" t="s">
        <v>1333</v>
      </c>
      <c r="AA6" s="387" t="s">
        <v>1334</v>
      </c>
      <c r="AB6" s="387" t="s">
        <v>1333</v>
      </c>
      <c r="AC6" s="387" t="s">
        <v>1334</v>
      </c>
      <c r="AD6" s="387" t="s">
        <v>1333</v>
      </c>
      <c r="AE6" s="387" t="s">
        <v>1334</v>
      </c>
      <c r="AF6" s="387" t="s">
        <v>1333</v>
      </c>
      <c r="AG6" s="387" t="s">
        <v>1334</v>
      </c>
      <c r="AH6" s="387" t="s">
        <v>1333</v>
      </c>
      <c r="AI6" s="387" t="s">
        <v>1334</v>
      </c>
      <c r="AJ6" s="387" t="s">
        <v>1333</v>
      </c>
      <c r="AK6" s="387" t="s">
        <v>1334</v>
      </c>
      <c r="AL6" s="387" t="s">
        <v>1333</v>
      </c>
      <c r="AM6" s="387" t="s">
        <v>1334</v>
      </c>
      <c r="AN6" s="387" t="s">
        <v>1333</v>
      </c>
      <c r="AO6" s="387" t="s">
        <v>1334</v>
      </c>
      <c r="AP6" s="387" t="s">
        <v>1333</v>
      </c>
      <c r="AQ6" s="387" t="s">
        <v>1334</v>
      </c>
      <c r="AR6" s="387" t="s">
        <v>1333</v>
      </c>
      <c r="AS6" s="387" t="s">
        <v>1334</v>
      </c>
      <c r="AT6" s="387" t="s">
        <v>1333</v>
      </c>
      <c r="AU6" s="387" t="s">
        <v>1334</v>
      </c>
      <c r="AV6" s="387" t="s">
        <v>1333</v>
      </c>
      <c r="AW6" s="387" t="s">
        <v>1334</v>
      </c>
      <c r="AX6" s="388" t="s">
        <v>1333</v>
      </c>
      <c r="AY6" s="388" t="s">
        <v>1334</v>
      </c>
      <c r="AZ6" s="388" t="s">
        <v>1333</v>
      </c>
      <c r="BA6" s="388" t="s">
        <v>1334</v>
      </c>
      <c r="BB6" s="388" t="s">
        <v>1333</v>
      </c>
      <c r="BC6" s="388" t="s">
        <v>1334</v>
      </c>
      <c r="BD6" s="388" t="s">
        <v>1333</v>
      </c>
      <c r="BE6" s="388" t="s">
        <v>1334</v>
      </c>
      <c r="BF6" s="388" t="s">
        <v>1333</v>
      </c>
      <c r="BG6" s="388" t="s">
        <v>1334</v>
      </c>
      <c r="BH6" s="388" t="s">
        <v>1333</v>
      </c>
      <c r="BI6" s="388" t="s">
        <v>1334</v>
      </c>
      <c r="BJ6" s="388" t="s">
        <v>1333</v>
      </c>
      <c r="BK6" s="388" t="s">
        <v>1334</v>
      </c>
      <c r="BL6" s="388" t="s">
        <v>1333</v>
      </c>
      <c r="BM6" s="388" t="s">
        <v>1334</v>
      </c>
      <c r="BN6" s="388" t="s">
        <v>1333</v>
      </c>
      <c r="BO6" s="388" t="s">
        <v>1334</v>
      </c>
      <c r="BP6" s="388" t="s">
        <v>1333</v>
      </c>
      <c r="BQ6" s="388" t="s">
        <v>1334</v>
      </c>
      <c r="BR6" s="388" t="s">
        <v>1333</v>
      </c>
      <c r="BS6" s="388" t="s">
        <v>1334</v>
      </c>
      <c r="BT6" s="388" t="s">
        <v>1333</v>
      </c>
      <c r="BU6" s="388" t="s">
        <v>1334</v>
      </c>
      <c r="BV6" s="389" t="s">
        <v>1333</v>
      </c>
      <c r="BW6" s="389" t="s">
        <v>1334</v>
      </c>
      <c r="BX6" s="389" t="s">
        <v>1333</v>
      </c>
      <c r="BY6" s="389" t="s">
        <v>1334</v>
      </c>
      <c r="BZ6" s="389" t="s">
        <v>1333</v>
      </c>
      <c r="CA6" s="389" t="s">
        <v>1334</v>
      </c>
      <c r="CB6" s="389" t="s">
        <v>1333</v>
      </c>
      <c r="CC6" s="389" t="s">
        <v>1334</v>
      </c>
      <c r="CD6" s="389" t="s">
        <v>1333</v>
      </c>
      <c r="CE6" s="389" t="s">
        <v>1334</v>
      </c>
      <c r="CF6" s="389" t="s">
        <v>1333</v>
      </c>
      <c r="CG6" s="389" t="s">
        <v>1334</v>
      </c>
    </row>
    <row r="7" spans="1:85" x14ac:dyDescent="0.25">
      <c r="A7" s="390" t="s">
        <v>1335</v>
      </c>
      <c r="B7" s="391">
        <v>50.077658426273302</v>
      </c>
      <c r="C7" s="391">
        <v>43.682359565160901</v>
      </c>
      <c r="D7" s="391">
        <v>42.8849597689292</v>
      </c>
      <c r="E7" s="391">
        <v>42.793431428339098</v>
      </c>
      <c r="F7" s="391">
        <v>43.019862114248198</v>
      </c>
      <c r="G7" s="391">
        <v>45.321667390360403</v>
      </c>
      <c r="H7" s="391">
        <v>48.512544145301099</v>
      </c>
      <c r="I7" s="391">
        <v>50.272072432594697</v>
      </c>
      <c r="J7" s="391">
        <v>43.268614947011102</v>
      </c>
      <c r="K7" s="391">
        <v>35.515960701047199</v>
      </c>
      <c r="L7" s="391">
        <v>38.078070847470002</v>
      </c>
      <c r="M7" s="391">
        <v>39.270787586005</v>
      </c>
      <c r="N7" s="391">
        <v>42.1362040288302</v>
      </c>
      <c r="O7" s="391">
        <v>42.786277168932997</v>
      </c>
      <c r="P7" s="391">
        <v>39.808013122535201</v>
      </c>
      <c r="Q7" s="391">
        <v>38.775142406590902</v>
      </c>
      <c r="R7" s="391">
        <v>39.5924269346241</v>
      </c>
      <c r="S7" s="391">
        <v>41.875955231963403</v>
      </c>
      <c r="T7" s="391">
        <v>42.9138738536613</v>
      </c>
      <c r="U7" s="391">
        <v>43.546961036236802</v>
      </c>
      <c r="V7" s="391">
        <v>45.120786661849003</v>
      </c>
      <c r="W7" s="391">
        <v>49.731165088513798</v>
      </c>
      <c r="X7" s="391">
        <v>47.522367040371101</v>
      </c>
      <c r="Y7" s="391">
        <v>51.771931276026599</v>
      </c>
      <c r="Z7" s="391">
        <v>52.979935818612603</v>
      </c>
      <c r="AA7" s="391">
        <v>50.791533546325901</v>
      </c>
      <c r="AB7" s="391">
        <v>49.791127167630002</v>
      </c>
      <c r="AC7" s="391">
        <v>49.976735015772903</v>
      </c>
      <c r="AD7" s="391">
        <v>52.243794608027301</v>
      </c>
      <c r="AE7" s="391">
        <v>57.474983343380202</v>
      </c>
      <c r="AF7" s="391">
        <v>57.4653049351992</v>
      </c>
      <c r="AG7" s="391">
        <v>53.038229128129203</v>
      </c>
      <c r="AH7" s="391">
        <v>51.096821369944799</v>
      </c>
      <c r="AI7" s="391">
        <v>48.689999422932701</v>
      </c>
      <c r="AJ7" s="391">
        <v>48.943587243317701</v>
      </c>
      <c r="AK7" s="391">
        <v>51.507137204326298</v>
      </c>
      <c r="AL7" s="391">
        <v>53.008566818248497</v>
      </c>
      <c r="AM7" s="391">
        <v>53.8983598707051</v>
      </c>
      <c r="AN7" s="391">
        <v>54.131327732104701</v>
      </c>
      <c r="AO7" s="391">
        <v>53.920766255958299</v>
      </c>
      <c r="AP7" s="391">
        <v>54.472243985955103</v>
      </c>
      <c r="AQ7" s="391">
        <v>56.155186841725602</v>
      </c>
      <c r="AR7" s="391">
        <v>0</v>
      </c>
      <c r="AS7" s="391">
        <v>0</v>
      </c>
      <c r="AT7" s="391">
        <v>0</v>
      </c>
      <c r="AU7" s="391">
        <v>0</v>
      </c>
      <c r="AV7" s="391">
        <v>0</v>
      </c>
      <c r="AW7" s="391">
        <v>0</v>
      </c>
      <c r="AX7" s="391">
        <v>0</v>
      </c>
      <c r="AY7" s="391">
        <v>0</v>
      </c>
      <c r="AZ7" s="391">
        <v>0</v>
      </c>
      <c r="BA7" s="391">
        <v>0</v>
      </c>
      <c r="BB7" s="391">
        <v>0</v>
      </c>
      <c r="BC7" s="391">
        <v>0</v>
      </c>
      <c r="BD7" s="391">
        <v>0</v>
      </c>
      <c r="BE7" s="391">
        <v>0</v>
      </c>
      <c r="BF7" s="391">
        <v>0</v>
      </c>
      <c r="BG7" s="391">
        <v>0</v>
      </c>
      <c r="BH7" s="391">
        <v>0</v>
      </c>
      <c r="BI7" s="391">
        <v>0</v>
      </c>
      <c r="BJ7" s="391">
        <v>0</v>
      </c>
      <c r="BK7" s="391">
        <v>0</v>
      </c>
      <c r="BL7" s="391">
        <v>0</v>
      </c>
      <c r="BM7" s="391">
        <v>0</v>
      </c>
      <c r="BN7" s="391">
        <v>0</v>
      </c>
      <c r="BO7" s="391">
        <v>0</v>
      </c>
      <c r="BP7" s="391">
        <v>68.9935095549409</v>
      </c>
      <c r="BQ7" s="391">
        <v>67.4156198222623</v>
      </c>
      <c r="BR7" s="391">
        <v>67.730484786283498</v>
      </c>
      <c r="BS7" s="391">
        <v>69.280104553833098</v>
      </c>
      <c r="BT7" s="391">
        <v>65.310303236700506</v>
      </c>
      <c r="BU7" s="391">
        <v>70.798462184508793</v>
      </c>
      <c r="BV7" s="391">
        <v>68.486659003313207</v>
      </c>
      <c r="BW7" s="391">
        <v>70.283087407073594</v>
      </c>
      <c r="BX7" s="391">
        <v>73.279428395188603</v>
      </c>
      <c r="BY7" s="391">
        <v>75.069338374291107</v>
      </c>
      <c r="BZ7" s="391">
        <v>78.276226319617905</v>
      </c>
      <c r="CA7" s="391">
        <v>80.590520186082799</v>
      </c>
      <c r="CB7" s="391">
        <v>81.046810885336299</v>
      </c>
      <c r="CC7" s="391">
        <v>79.290942938350796</v>
      </c>
      <c r="CD7" s="391">
        <v>79.323955511433397</v>
      </c>
      <c r="CE7" s="391">
        <v>81.455705942013694</v>
      </c>
      <c r="CF7" s="391">
        <v>77.886498216809102</v>
      </c>
      <c r="CG7" s="391">
        <v>69.793621639672693</v>
      </c>
    </row>
    <row r="8" spans="1:85" x14ac:dyDescent="0.25">
      <c r="A8" s="390" t="s">
        <v>1336</v>
      </c>
      <c r="B8" s="391">
        <v>0</v>
      </c>
      <c r="C8" s="391">
        <v>0</v>
      </c>
      <c r="D8" s="391">
        <v>0</v>
      </c>
      <c r="E8" s="391">
        <v>0</v>
      </c>
      <c r="F8" s="391">
        <v>0</v>
      </c>
      <c r="G8" s="391">
        <v>0</v>
      </c>
      <c r="H8" s="391">
        <v>0</v>
      </c>
      <c r="I8" s="391">
        <v>0</v>
      </c>
      <c r="J8" s="391">
        <v>0</v>
      </c>
      <c r="K8" s="391">
        <v>0</v>
      </c>
      <c r="L8" s="391">
        <v>0</v>
      </c>
      <c r="M8" s="391">
        <v>0</v>
      </c>
      <c r="N8" s="391">
        <v>0</v>
      </c>
      <c r="O8" s="391">
        <v>0</v>
      </c>
      <c r="P8" s="391">
        <v>0</v>
      </c>
      <c r="Q8" s="391">
        <v>0</v>
      </c>
      <c r="R8" s="391">
        <v>0</v>
      </c>
      <c r="S8" s="391">
        <v>0</v>
      </c>
      <c r="T8" s="391">
        <v>0</v>
      </c>
      <c r="U8" s="391">
        <v>0</v>
      </c>
      <c r="V8" s="391">
        <v>0</v>
      </c>
      <c r="W8" s="391">
        <v>0</v>
      </c>
      <c r="X8" s="391">
        <v>0</v>
      </c>
      <c r="Y8" s="391">
        <v>0</v>
      </c>
      <c r="Z8" s="391">
        <v>0</v>
      </c>
      <c r="AA8" s="391">
        <v>0</v>
      </c>
      <c r="AB8" s="391">
        <v>0</v>
      </c>
      <c r="AC8" s="391">
        <v>0</v>
      </c>
      <c r="AD8" s="391">
        <v>0</v>
      </c>
      <c r="AE8" s="391">
        <v>0</v>
      </c>
      <c r="AF8" s="391">
        <v>0</v>
      </c>
      <c r="AG8" s="391">
        <v>0</v>
      </c>
      <c r="AH8" s="391">
        <v>0</v>
      </c>
      <c r="AI8" s="391">
        <v>0</v>
      </c>
      <c r="AJ8" s="391">
        <v>0</v>
      </c>
      <c r="AK8" s="391">
        <v>0</v>
      </c>
      <c r="AL8" s="391">
        <v>0</v>
      </c>
      <c r="AM8" s="391">
        <v>0</v>
      </c>
      <c r="AN8" s="391">
        <v>0</v>
      </c>
      <c r="AO8" s="391">
        <v>0</v>
      </c>
      <c r="AP8" s="391">
        <v>0</v>
      </c>
      <c r="AQ8" s="391">
        <v>0</v>
      </c>
      <c r="AR8" s="391">
        <v>0</v>
      </c>
      <c r="AS8" s="391">
        <v>0</v>
      </c>
      <c r="AT8" s="391">
        <v>0</v>
      </c>
      <c r="AU8" s="391">
        <v>0</v>
      </c>
      <c r="AV8" s="391">
        <v>0</v>
      </c>
      <c r="AW8" s="391">
        <v>0</v>
      </c>
      <c r="AX8" s="391">
        <v>0</v>
      </c>
      <c r="AY8" s="391">
        <v>0</v>
      </c>
      <c r="AZ8" s="391">
        <v>0</v>
      </c>
      <c r="BA8" s="391">
        <v>0</v>
      </c>
      <c r="BB8" s="391">
        <v>0</v>
      </c>
      <c r="BC8" s="391">
        <v>0</v>
      </c>
      <c r="BD8" s="391">
        <v>0</v>
      </c>
      <c r="BE8" s="391">
        <v>0</v>
      </c>
      <c r="BF8" s="391">
        <v>0</v>
      </c>
      <c r="BG8" s="391">
        <v>0</v>
      </c>
      <c r="BH8" s="391">
        <v>0</v>
      </c>
      <c r="BI8" s="391">
        <v>0</v>
      </c>
      <c r="BJ8" s="391">
        <v>0</v>
      </c>
      <c r="BK8" s="391">
        <v>0</v>
      </c>
      <c r="BL8" s="391">
        <v>0</v>
      </c>
      <c r="BM8" s="391">
        <v>0</v>
      </c>
      <c r="BN8" s="391">
        <v>0</v>
      </c>
      <c r="BO8" s="391">
        <v>0</v>
      </c>
      <c r="BP8" s="391">
        <v>15.880102040816301</v>
      </c>
      <c r="BQ8" s="391">
        <v>13.0330788804071</v>
      </c>
      <c r="BR8" s="391">
        <v>15.619718309859101</v>
      </c>
      <c r="BS8" s="391">
        <v>21.933222036727798</v>
      </c>
      <c r="BT8" s="391">
        <v>22.835958005249299</v>
      </c>
      <c r="BU8" s="391">
        <v>27.2470588235294</v>
      </c>
      <c r="BV8" s="391">
        <v>31.9345692475463</v>
      </c>
      <c r="BW8" s="391">
        <v>33.112313937753697</v>
      </c>
      <c r="BX8" s="391">
        <v>43.979381443298898</v>
      </c>
      <c r="BY8" s="391">
        <v>38.796536796536799</v>
      </c>
      <c r="BZ8" s="391">
        <v>41.752000000000002</v>
      </c>
      <c r="CA8" s="391">
        <v>29.611940298507399</v>
      </c>
      <c r="CB8" s="391">
        <v>27.578616352201198</v>
      </c>
      <c r="CC8" s="391">
        <v>17.8494623655913</v>
      </c>
      <c r="CD8" s="391">
        <v>21.829931972789101</v>
      </c>
      <c r="CE8" s="391">
        <v>25.255319148936099</v>
      </c>
      <c r="CF8" s="391">
        <v>21.09375</v>
      </c>
      <c r="CG8" s="391">
        <v>18.720588235294102</v>
      </c>
    </row>
    <row r="9" spans="1:85" x14ac:dyDescent="0.25">
      <c r="A9" s="390" t="s">
        <v>1337</v>
      </c>
      <c r="B9" s="391">
        <v>71.904302019315196</v>
      </c>
      <c r="C9" s="391">
        <v>59.022913256955803</v>
      </c>
      <c r="D9" s="391">
        <v>58.804856115107903</v>
      </c>
      <c r="E9" s="391">
        <v>56.031290074377999</v>
      </c>
      <c r="F9" s="391">
        <v>52.507682593138298</v>
      </c>
      <c r="G9" s="391">
        <v>53.2716579959285</v>
      </c>
      <c r="H9" s="391">
        <v>55.766170368562399</v>
      </c>
      <c r="I9" s="391">
        <v>61.291329479768798</v>
      </c>
      <c r="J9" s="391">
        <v>62.604145077720197</v>
      </c>
      <c r="K9" s="391">
        <v>53.525115473441097</v>
      </c>
      <c r="L9" s="391">
        <v>51.425330341560702</v>
      </c>
      <c r="M9" s="391">
        <v>55.124661912957897</v>
      </c>
      <c r="N9" s="391">
        <v>56.2574047954866</v>
      </c>
      <c r="O9" s="391">
        <v>59.815751093826002</v>
      </c>
      <c r="P9" s="391">
        <v>62.833025586916399</v>
      </c>
      <c r="Q9" s="391">
        <v>64.755285412262197</v>
      </c>
      <c r="R9" s="391">
        <v>68.187044534412905</v>
      </c>
      <c r="S9" s="391">
        <v>68.341557440246703</v>
      </c>
      <c r="T9" s="391">
        <v>74.314603536794095</v>
      </c>
      <c r="U9" s="391">
        <v>92.067290392227406</v>
      </c>
      <c r="V9" s="391">
        <v>97.720650910499799</v>
      </c>
      <c r="W9" s="391">
        <v>113.121052631579</v>
      </c>
      <c r="X9" s="391">
        <v>129.61562306261601</v>
      </c>
      <c r="Y9" s="391">
        <v>146.55374351371401</v>
      </c>
      <c r="Z9" s="391">
        <v>77.981526404179903</v>
      </c>
      <c r="AA9" s="391">
        <v>75.938209331651905</v>
      </c>
      <c r="AB9" s="391">
        <v>76.470211291998595</v>
      </c>
      <c r="AC9" s="391">
        <v>81.219173135945098</v>
      </c>
      <c r="AD9" s="391">
        <v>84.981841763942896</v>
      </c>
      <c r="AE9" s="391">
        <v>85.947713679336303</v>
      </c>
      <c r="AF9" s="391">
        <v>87.7138511458122</v>
      </c>
      <c r="AG9" s="391">
        <v>86.285536159600994</v>
      </c>
      <c r="AH9" s="391">
        <v>83.976139294926895</v>
      </c>
      <c r="AI9" s="391">
        <v>83.456290941947103</v>
      </c>
      <c r="AJ9" s="391">
        <v>83.823098724610304</v>
      </c>
      <c r="AK9" s="391">
        <v>83.342960288808698</v>
      </c>
      <c r="AL9" s="391">
        <v>81.917795422699697</v>
      </c>
      <c r="AM9" s="391">
        <v>80.867273151387906</v>
      </c>
      <c r="AN9" s="391">
        <v>79.539192949907203</v>
      </c>
      <c r="AO9" s="391">
        <v>80.371352785145902</v>
      </c>
      <c r="AP9" s="391">
        <v>80.3619439071567</v>
      </c>
      <c r="AQ9" s="391">
        <v>79.239981785063705</v>
      </c>
      <c r="AR9" s="391">
        <v>0</v>
      </c>
      <c r="AS9" s="391">
        <v>0</v>
      </c>
      <c r="AT9" s="391">
        <v>0</v>
      </c>
      <c r="AU9" s="391">
        <v>0</v>
      </c>
      <c r="AV9" s="391">
        <v>0</v>
      </c>
      <c r="AW9" s="391">
        <v>0</v>
      </c>
      <c r="AX9" s="391">
        <v>0</v>
      </c>
      <c r="AY9" s="391">
        <v>0</v>
      </c>
      <c r="AZ9" s="391">
        <v>0</v>
      </c>
      <c r="BA9" s="391">
        <v>0</v>
      </c>
      <c r="BB9" s="391">
        <v>0</v>
      </c>
      <c r="BC9" s="391">
        <v>0</v>
      </c>
      <c r="BD9" s="391">
        <v>0</v>
      </c>
      <c r="BE9" s="391">
        <v>0</v>
      </c>
      <c r="BF9" s="391">
        <v>0</v>
      </c>
      <c r="BG9" s="391">
        <v>0</v>
      </c>
      <c r="BH9" s="391">
        <v>0</v>
      </c>
      <c r="BI9" s="391">
        <v>0</v>
      </c>
      <c r="BJ9" s="391">
        <v>0</v>
      </c>
      <c r="BK9" s="391">
        <v>0</v>
      </c>
      <c r="BL9" s="391">
        <v>0</v>
      </c>
      <c r="BM9" s="391">
        <v>0</v>
      </c>
      <c r="BN9" s="391">
        <v>0</v>
      </c>
      <c r="BO9" s="391">
        <v>0</v>
      </c>
      <c r="BP9" s="391">
        <v>146.48527679623001</v>
      </c>
      <c r="BQ9" s="391">
        <v>149.48356807511701</v>
      </c>
      <c r="BR9" s="391">
        <v>157.949640287769</v>
      </c>
      <c r="BS9" s="391">
        <v>163.23105134474301</v>
      </c>
      <c r="BT9" s="391">
        <v>168.40620957309099</v>
      </c>
      <c r="BU9" s="391">
        <v>177.13219895287901</v>
      </c>
      <c r="BV9" s="391">
        <v>183.58477970627499</v>
      </c>
      <c r="BW9" s="391">
        <v>191.45428973277001</v>
      </c>
      <c r="BX9" s="391">
        <v>197.97611940298501</v>
      </c>
      <c r="BY9" s="391">
        <v>207.77863777089701</v>
      </c>
      <c r="BZ9" s="391">
        <v>210.24522292993601</v>
      </c>
      <c r="CA9" s="391">
        <v>218.94590163934399</v>
      </c>
      <c r="CB9" s="391">
        <v>222.760757314974</v>
      </c>
      <c r="CC9" s="391">
        <v>232.96394686907001</v>
      </c>
      <c r="CD9" s="391">
        <v>238.26242544731599</v>
      </c>
      <c r="CE9" s="391">
        <v>247.833333333333</v>
      </c>
      <c r="CF9" s="391">
        <v>254.672055427251</v>
      </c>
      <c r="CG9" s="391">
        <v>257.59459459459401</v>
      </c>
    </row>
    <row r="10" spans="1:85" x14ac:dyDescent="0.25">
      <c r="A10" s="392" t="s">
        <v>1338</v>
      </c>
      <c r="B10" s="393">
        <v>0</v>
      </c>
      <c r="C10" s="393">
        <v>0</v>
      </c>
      <c r="D10" s="393">
        <v>0</v>
      </c>
      <c r="E10" s="393">
        <v>0</v>
      </c>
      <c r="F10" s="393">
        <v>0</v>
      </c>
      <c r="G10" s="393">
        <v>0</v>
      </c>
      <c r="H10" s="393">
        <v>0</v>
      </c>
      <c r="I10" s="393">
        <v>0</v>
      </c>
      <c r="J10" s="393">
        <v>0</v>
      </c>
      <c r="K10" s="393">
        <v>0</v>
      </c>
      <c r="L10" s="393">
        <v>0</v>
      </c>
      <c r="M10" s="393">
        <v>0</v>
      </c>
      <c r="N10" s="393">
        <v>0</v>
      </c>
      <c r="O10" s="393">
        <v>0</v>
      </c>
      <c r="P10" s="393">
        <v>0</v>
      </c>
      <c r="Q10" s="393">
        <v>0</v>
      </c>
      <c r="R10" s="393">
        <v>0</v>
      </c>
      <c r="S10" s="393">
        <v>0</v>
      </c>
      <c r="T10" s="393">
        <v>0</v>
      </c>
      <c r="U10" s="393">
        <v>0</v>
      </c>
      <c r="V10" s="393">
        <v>0</v>
      </c>
      <c r="W10" s="393">
        <v>0</v>
      </c>
      <c r="X10" s="393">
        <v>0</v>
      </c>
      <c r="Y10" s="393">
        <v>0</v>
      </c>
      <c r="Z10" s="393">
        <v>0</v>
      </c>
      <c r="AA10" s="393">
        <v>0</v>
      </c>
      <c r="AB10" s="393">
        <v>0</v>
      </c>
      <c r="AC10" s="393">
        <v>0</v>
      </c>
      <c r="AD10" s="393">
        <v>0</v>
      </c>
      <c r="AE10" s="393">
        <v>0</v>
      </c>
      <c r="AF10" s="393">
        <v>0</v>
      </c>
      <c r="AG10" s="393">
        <v>0</v>
      </c>
      <c r="AH10" s="393">
        <v>0</v>
      </c>
      <c r="AI10" s="393">
        <v>0</v>
      </c>
      <c r="AJ10" s="393">
        <v>0</v>
      </c>
      <c r="AK10" s="393">
        <v>0</v>
      </c>
      <c r="AL10" s="393">
        <v>0</v>
      </c>
      <c r="AM10" s="393">
        <v>0</v>
      </c>
      <c r="AN10" s="393">
        <v>0</v>
      </c>
      <c r="AO10" s="393">
        <v>0</v>
      </c>
      <c r="AP10" s="393">
        <v>0</v>
      </c>
      <c r="AQ10" s="393">
        <v>0</v>
      </c>
      <c r="AR10" s="393">
        <v>0</v>
      </c>
      <c r="AS10" s="393">
        <v>0</v>
      </c>
      <c r="AT10" s="393">
        <v>0</v>
      </c>
      <c r="AU10" s="393">
        <v>0</v>
      </c>
      <c r="AV10" s="393">
        <v>0</v>
      </c>
      <c r="AW10" s="393">
        <v>0</v>
      </c>
      <c r="AX10" s="393">
        <v>0</v>
      </c>
      <c r="AY10" s="393">
        <v>0</v>
      </c>
      <c r="AZ10" s="393">
        <v>0</v>
      </c>
      <c r="BA10" s="393">
        <v>0</v>
      </c>
      <c r="BB10" s="393">
        <v>0</v>
      </c>
      <c r="BC10" s="393">
        <v>0</v>
      </c>
      <c r="BD10" s="393">
        <v>0</v>
      </c>
      <c r="BE10" s="393">
        <v>0</v>
      </c>
      <c r="BF10" s="393">
        <v>0</v>
      </c>
      <c r="BG10" s="393">
        <v>0</v>
      </c>
      <c r="BH10" s="393">
        <v>0</v>
      </c>
      <c r="BI10" s="393">
        <v>0</v>
      </c>
      <c r="BJ10" s="393">
        <v>0</v>
      </c>
      <c r="BK10" s="393">
        <v>0</v>
      </c>
      <c r="BL10" s="393">
        <v>0</v>
      </c>
      <c r="BM10" s="393">
        <v>0</v>
      </c>
      <c r="BN10" s="393">
        <v>0</v>
      </c>
      <c r="BO10" s="393">
        <v>0</v>
      </c>
      <c r="BP10" s="393">
        <v>11.633333333333301</v>
      </c>
      <c r="BQ10" s="393">
        <v>20.493506493506398</v>
      </c>
      <c r="BR10" s="393">
        <v>31.0510204081632</v>
      </c>
      <c r="BS10" s="393">
        <v>41.415929203539797</v>
      </c>
      <c r="BT10" s="393">
        <v>50.056451612903203</v>
      </c>
      <c r="BU10" s="393">
        <v>58.112781954887197</v>
      </c>
      <c r="BV10" s="393">
        <v>68.9097222222222</v>
      </c>
      <c r="BW10" s="393">
        <v>71.290322580645096</v>
      </c>
      <c r="BX10" s="393">
        <v>92.25</v>
      </c>
      <c r="BY10" s="393">
        <v>51.285714285714199</v>
      </c>
      <c r="BZ10" s="393">
        <v>26.285714285714199</v>
      </c>
      <c r="CA10" s="393">
        <v>31</v>
      </c>
      <c r="CB10" s="393">
        <v>33.4</v>
      </c>
      <c r="CC10" s="393">
        <v>10.6666666666666</v>
      </c>
      <c r="CD10" s="393">
        <v>18.1111111111111</v>
      </c>
      <c r="CE10" s="393">
        <v>21.5</v>
      </c>
      <c r="CF10" s="393">
        <v>34.6666666666666</v>
      </c>
      <c r="CG10" s="393">
        <v>52</v>
      </c>
    </row>
    <row r="11" spans="1:85" x14ac:dyDescent="0.25">
      <c r="A11" s="394" t="s">
        <v>1161</v>
      </c>
      <c r="B11" s="393">
        <v>52.365263400045997</v>
      </c>
      <c r="C11" s="393">
        <v>45.474946450428398</v>
      </c>
      <c r="D11" s="393">
        <v>44.8112146820935</v>
      </c>
      <c r="E11" s="393">
        <v>44.604399845619398</v>
      </c>
      <c r="F11" s="393">
        <v>44.567876644115501</v>
      </c>
      <c r="G11" s="393">
        <v>46.602018141415599</v>
      </c>
      <c r="H11" s="393">
        <v>49.659961389961403</v>
      </c>
      <c r="I11" s="393">
        <v>51.897872158969797</v>
      </c>
      <c r="J11" s="393">
        <v>45.535598574437103</v>
      </c>
      <c r="K11" s="393">
        <v>37.512175610380503</v>
      </c>
      <c r="L11" s="393">
        <v>39.781840748520104</v>
      </c>
      <c r="M11" s="393">
        <v>41.324806473192901</v>
      </c>
      <c r="N11" s="393">
        <v>44.054872400907101</v>
      </c>
      <c r="O11" s="393">
        <v>45.017676848106497</v>
      </c>
      <c r="P11" s="393">
        <v>42.498428060658398</v>
      </c>
      <c r="Q11" s="393">
        <v>41.5954901454514</v>
      </c>
      <c r="R11" s="393">
        <v>42.507194541502699</v>
      </c>
      <c r="S11" s="393">
        <v>44.649465377467699</v>
      </c>
      <c r="T11" s="393">
        <v>45.724969997191202</v>
      </c>
      <c r="U11" s="393">
        <v>46.842363809663503</v>
      </c>
      <c r="V11" s="393">
        <v>48.4058121808987</v>
      </c>
      <c r="W11" s="393">
        <v>53.170097339389997</v>
      </c>
      <c r="X11" s="393">
        <v>51.022946572553998</v>
      </c>
      <c r="Y11" s="393">
        <v>55.171576708322199</v>
      </c>
      <c r="Z11" s="393">
        <v>56.4418634695881</v>
      </c>
      <c r="AA11" s="393">
        <v>54.338457629272</v>
      </c>
      <c r="AB11" s="393">
        <v>53.606578491108102</v>
      </c>
      <c r="AC11" s="393">
        <v>54.193090173720201</v>
      </c>
      <c r="AD11" s="393">
        <v>56.660533946605298</v>
      </c>
      <c r="AE11" s="393">
        <v>61.495858536319503</v>
      </c>
      <c r="AF11" s="393">
        <v>61.623299509366603</v>
      </c>
      <c r="AG11" s="393">
        <v>57.333387027491398</v>
      </c>
      <c r="AH11" s="393">
        <v>55.105380402023201</v>
      </c>
      <c r="AI11" s="393">
        <v>52.627836766022803</v>
      </c>
      <c r="AJ11" s="393">
        <v>52.720372359470097</v>
      </c>
      <c r="AK11" s="393">
        <v>54.963393603678902</v>
      </c>
      <c r="AL11" s="393">
        <v>56.235019678369397</v>
      </c>
      <c r="AM11" s="393">
        <v>56.9651714899599</v>
      </c>
      <c r="AN11" s="393">
        <v>57.0514139502652</v>
      </c>
      <c r="AO11" s="393">
        <v>56.845536476109203</v>
      </c>
      <c r="AP11" s="393">
        <v>57.246547659144497</v>
      </c>
      <c r="AQ11" s="393">
        <v>58.751760698645199</v>
      </c>
      <c r="AR11" s="393">
        <v>0</v>
      </c>
      <c r="AS11" s="393">
        <v>0</v>
      </c>
      <c r="AT11" s="393">
        <v>0</v>
      </c>
      <c r="AU11" s="393">
        <v>0</v>
      </c>
      <c r="AV11" s="393">
        <v>0</v>
      </c>
      <c r="AW11" s="393">
        <v>0</v>
      </c>
      <c r="AX11" s="393">
        <v>0</v>
      </c>
      <c r="AY11" s="393">
        <v>0</v>
      </c>
      <c r="AZ11" s="393">
        <v>0</v>
      </c>
      <c r="BA11" s="393">
        <v>0</v>
      </c>
      <c r="BB11" s="393">
        <v>0</v>
      </c>
      <c r="BC11" s="393">
        <v>0</v>
      </c>
      <c r="BD11" s="393">
        <v>0</v>
      </c>
      <c r="BE11" s="393">
        <v>0</v>
      </c>
      <c r="BF11" s="393">
        <v>0</v>
      </c>
      <c r="BG11" s="393">
        <v>0</v>
      </c>
      <c r="BH11" s="393">
        <v>0</v>
      </c>
      <c r="BI11" s="393">
        <v>0</v>
      </c>
      <c r="BJ11" s="393">
        <v>0</v>
      </c>
      <c r="BK11" s="393">
        <v>0</v>
      </c>
      <c r="BL11" s="393">
        <v>0</v>
      </c>
      <c r="BM11" s="393">
        <v>0</v>
      </c>
      <c r="BN11" s="393">
        <v>0</v>
      </c>
      <c r="BO11" s="393">
        <v>0</v>
      </c>
      <c r="BP11" s="393">
        <v>69.633067931560205</v>
      </c>
      <c r="BQ11" s="393">
        <v>68.079262169187103</v>
      </c>
      <c r="BR11" s="393">
        <v>68.406397281524704</v>
      </c>
      <c r="BS11" s="393">
        <v>69.949701695315696</v>
      </c>
      <c r="BT11" s="393">
        <v>65.940206843010003</v>
      </c>
      <c r="BU11" s="393">
        <v>71.3991610880433</v>
      </c>
      <c r="BV11" s="393">
        <v>69.182997821925895</v>
      </c>
      <c r="BW11" s="393">
        <v>71.092974522995405</v>
      </c>
      <c r="BX11" s="393">
        <v>74.330524033249006</v>
      </c>
      <c r="BY11" s="393">
        <v>76.218589590545506</v>
      </c>
      <c r="BZ11" s="393">
        <v>79.494187318353696</v>
      </c>
      <c r="CA11" s="393">
        <v>81.834664523905104</v>
      </c>
      <c r="CB11" s="393">
        <v>82.240177717241494</v>
      </c>
      <c r="CC11" s="393">
        <v>80.426677835813507</v>
      </c>
      <c r="CD11" s="393">
        <v>80.495232865771399</v>
      </c>
      <c r="CE11" s="393">
        <v>82.627549343527804</v>
      </c>
      <c r="CF11" s="393">
        <v>79.036609954841595</v>
      </c>
      <c r="CG11" s="393">
        <v>70.785364093000794</v>
      </c>
    </row>
    <row r="13" spans="1:85" x14ac:dyDescent="0.25">
      <c r="A13" s="369" t="s">
        <v>1339</v>
      </c>
    </row>
    <row r="14" spans="1:85" x14ac:dyDescent="0.25">
      <c r="A14" s="395"/>
    </row>
    <row r="15" spans="1:85" x14ac:dyDescent="0.25">
      <c r="A15" s="395"/>
    </row>
    <row r="16" spans="1:85" x14ac:dyDescent="0.25">
      <c r="A16" s="396" t="s">
        <v>1321</v>
      </c>
      <c r="B16" s="371">
        <v>2023</v>
      </c>
      <c r="C16" s="372"/>
      <c r="D16" s="372"/>
      <c r="E16" s="372"/>
      <c r="F16" s="372"/>
      <c r="G16" s="372"/>
      <c r="H16" s="372"/>
      <c r="I16" s="372"/>
      <c r="J16" s="372"/>
      <c r="K16" s="372"/>
      <c r="L16" s="372"/>
      <c r="M16" s="372"/>
      <c r="N16" s="372"/>
      <c r="O16" s="372"/>
      <c r="P16" s="372"/>
      <c r="Q16" s="372"/>
      <c r="R16" s="372"/>
      <c r="S16" s="372"/>
      <c r="T16" s="372"/>
      <c r="U16" s="372"/>
      <c r="V16" s="372"/>
      <c r="W16" s="372"/>
      <c r="X16" s="372"/>
      <c r="Y16" s="373"/>
      <c r="Z16" s="374">
        <v>2024</v>
      </c>
      <c r="AA16" s="374"/>
      <c r="AB16" s="374"/>
      <c r="AC16" s="374"/>
      <c r="AD16" s="374"/>
      <c r="AE16" s="374"/>
      <c r="AF16" s="374"/>
      <c r="AG16" s="374"/>
      <c r="AH16" s="374"/>
      <c r="AI16" s="374"/>
      <c r="AJ16" s="374"/>
      <c r="AK16" s="374"/>
      <c r="AL16" s="374"/>
      <c r="AM16" s="374"/>
      <c r="AN16" s="374"/>
      <c r="AO16" s="374"/>
      <c r="AP16" s="374"/>
      <c r="AQ16" s="374"/>
      <c r="AR16" s="374"/>
      <c r="AS16" s="374"/>
      <c r="AT16" s="374"/>
      <c r="AU16" s="374"/>
      <c r="AV16" s="374"/>
      <c r="AW16" s="375"/>
      <c r="AX16" s="376">
        <v>2025</v>
      </c>
      <c r="AY16" s="376"/>
      <c r="AZ16" s="376"/>
      <c r="BA16" s="376"/>
      <c r="BB16" s="376"/>
      <c r="BC16" s="376"/>
      <c r="BD16" s="376"/>
      <c r="BE16" s="376"/>
      <c r="BF16" s="376"/>
      <c r="BG16" s="376"/>
      <c r="BH16" s="376"/>
      <c r="BI16" s="376"/>
      <c r="BJ16" s="376"/>
      <c r="BK16" s="376"/>
      <c r="BL16" s="376"/>
      <c r="BM16" s="376"/>
      <c r="BN16" s="376"/>
      <c r="BO16" s="376"/>
      <c r="BP16" s="376"/>
      <c r="BQ16" s="376"/>
      <c r="BR16" s="376"/>
      <c r="BS16" s="376"/>
      <c r="BT16" s="376"/>
      <c r="BU16" s="377"/>
      <c r="BV16" s="378"/>
      <c r="BW16" s="378"/>
      <c r="BX16" s="378"/>
      <c r="BY16" s="378"/>
      <c r="BZ16" s="378"/>
      <c r="CA16" s="378"/>
      <c r="CB16" s="378"/>
      <c r="CC16" s="378"/>
      <c r="CD16" s="378"/>
      <c r="CE16" s="378"/>
      <c r="CF16" s="378"/>
      <c r="CG16" s="379"/>
    </row>
    <row r="17" spans="1:85" x14ac:dyDescent="0.25">
      <c r="A17" s="380"/>
      <c r="B17" s="381" t="s">
        <v>1322</v>
      </c>
      <c r="C17" s="227"/>
      <c r="D17" s="381" t="s">
        <v>1323</v>
      </c>
      <c r="E17" s="227"/>
      <c r="F17" s="381" t="s">
        <v>1324</v>
      </c>
      <c r="G17" s="227"/>
      <c r="H17" s="381" t="s">
        <v>1325</v>
      </c>
      <c r="I17" s="227"/>
      <c r="J17" s="381" t="s">
        <v>1231</v>
      </c>
      <c r="K17" s="227"/>
      <c r="L17" s="381" t="s">
        <v>1326</v>
      </c>
      <c r="M17" s="227"/>
      <c r="N17" s="381" t="s">
        <v>1327</v>
      </c>
      <c r="O17" s="227"/>
      <c r="P17" s="381" t="s">
        <v>1328</v>
      </c>
      <c r="Q17" s="227"/>
      <c r="R17" s="381" t="s">
        <v>1329</v>
      </c>
      <c r="S17" s="227"/>
      <c r="T17" s="381" t="s">
        <v>1330</v>
      </c>
      <c r="U17" s="227"/>
      <c r="V17" s="381" t="s">
        <v>1331</v>
      </c>
      <c r="W17" s="227"/>
      <c r="X17" s="381" t="s">
        <v>1332</v>
      </c>
      <c r="Y17" s="227"/>
      <c r="Z17" s="382" t="s">
        <v>1322</v>
      </c>
      <c r="AA17" s="227"/>
      <c r="AB17" s="382" t="s">
        <v>1323</v>
      </c>
      <c r="AC17" s="227"/>
      <c r="AD17" s="382" t="s">
        <v>1324</v>
      </c>
      <c r="AE17" s="227"/>
      <c r="AF17" s="382" t="s">
        <v>1325</v>
      </c>
      <c r="AG17" s="227"/>
      <c r="AH17" s="382" t="s">
        <v>1231</v>
      </c>
      <c r="AI17" s="227"/>
      <c r="AJ17" s="382" t="s">
        <v>1326</v>
      </c>
      <c r="AK17" s="227"/>
      <c r="AL17" s="382" t="s">
        <v>1327</v>
      </c>
      <c r="AM17" s="227"/>
      <c r="AN17" s="382" t="s">
        <v>1328</v>
      </c>
      <c r="AO17" s="227"/>
      <c r="AP17" s="382" t="s">
        <v>1329</v>
      </c>
      <c r="AQ17" s="227"/>
      <c r="AR17" s="382" t="s">
        <v>1330</v>
      </c>
      <c r="AS17" s="227"/>
      <c r="AT17" s="382" t="s">
        <v>1331</v>
      </c>
      <c r="AU17" s="227"/>
      <c r="AV17" s="382" t="s">
        <v>1332</v>
      </c>
      <c r="AW17" s="227"/>
      <c r="AX17" s="383" t="s">
        <v>1322</v>
      </c>
      <c r="AY17" s="227"/>
      <c r="AZ17" s="383" t="s">
        <v>1323</v>
      </c>
      <c r="BA17" s="227"/>
      <c r="BB17" s="383" t="s">
        <v>1324</v>
      </c>
      <c r="BC17" s="227"/>
      <c r="BD17" s="383" t="s">
        <v>1325</v>
      </c>
      <c r="BE17" s="227"/>
      <c r="BF17" s="383" t="s">
        <v>1231</v>
      </c>
      <c r="BG17" s="227"/>
      <c r="BH17" s="383" t="s">
        <v>1326</v>
      </c>
      <c r="BI17" s="227"/>
      <c r="BJ17" s="383" t="s">
        <v>1327</v>
      </c>
      <c r="BK17" s="227"/>
      <c r="BL17" s="383" t="s">
        <v>1328</v>
      </c>
      <c r="BM17" s="227"/>
      <c r="BN17" s="383" t="s">
        <v>1329</v>
      </c>
      <c r="BO17" s="227"/>
      <c r="BP17" s="383" t="s">
        <v>1330</v>
      </c>
      <c r="BQ17" s="227"/>
      <c r="BR17" s="383" t="s">
        <v>1331</v>
      </c>
      <c r="BS17" s="227"/>
      <c r="BT17" s="383" t="s">
        <v>1332</v>
      </c>
      <c r="BU17" s="227"/>
      <c r="BV17" s="384" t="s">
        <v>1322</v>
      </c>
      <c r="BW17" s="385"/>
      <c r="BX17" s="384" t="s">
        <v>1323</v>
      </c>
      <c r="BY17" s="385"/>
      <c r="BZ17" s="384" t="s">
        <v>1324</v>
      </c>
      <c r="CA17" s="385"/>
      <c r="CB17" s="384" t="s">
        <v>1325</v>
      </c>
      <c r="CC17" s="385"/>
      <c r="CD17" s="384" t="s">
        <v>1231</v>
      </c>
      <c r="CE17" s="385"/>
      <c r="CF17" s="384" t="s">
        <v>1326</v>
      </c>
      <c r="CG17" s="385"/>
    </row>
    <row r="18" spans="1:85" x14ac:dyDescent="0.25">
      <c r="A18" s="351"/>
      <c r="B18" s="386" t="s">
        <v>1333</v>
      </c>
      <c r="C18" s="386" t="s">
        <v>1334</v>
      </c>
      <c r="D18" s="386" t="s">
        <v>1333</v>
      </c>
      <c r="E18" s="386" t="s">
        <v>1334</v>
      </c>
      <c r="F18" s="386" t="s">
        <v>1333</v>
      </c>
      <c r="G18" s="386" t="s">
        <v>1334</v>
      </c>
      <c r="H18" s="386" t="s">
        <v>1333</v>
      </c>
      <c r="I18" s="386" t="s">
        <v>1334</v>
      </c>
      <c r="J18" s="386" t="s">
        <v>1333</v>
      </c>
      <c r="K18" s="386" t="s">
        <v>1334</v>
      </c>
      <c r="L18" s="386" t="s">
        <v>1333</v>
      </c>
      <c r="M18" s="386" t="s">
        <v>1334</v>
      </c>
      <c r="N18" s="386" t="s">
        <v>1333</v>
      </c>
      <c r="O18" s="386" t="s">
        <v>1334</v>
      </c>
      <c r="P18" s="386" t="s">
        <v>1333</v>
      </c>
      <c r="Q18" s="386" t="s">
        <v>1334</v>
      </c>
      <c r="R18" s="386" t="s">
        <v>1333</v>
      </c>
      <c r="S18" s="386" t="s">
        <v>1334</v>
      </c>
      <c r="T18" s="386" t="s">
        <v>1333</v>
      </c>
      <c r="U18" s="386" t="s">
        <v>1334</v>
      </c>
      <c r="V18" s="386" t="s">
        <v>1333</v>
      </c>
      <c r="W18" s="386" t="s">
        <v>1334</v>
      </c>
      <c r="X18" s="386" t="s">
        <v>1333</v>
      </c>
      <c r="Y18" s="386" t="s">
        <v>1334</v>
      </c>
      <c r="Z18" s="387" t="s">
        <v>1333</v>
      </c>
      <c r="AA18" s="387" t="s">
        <v>1334</v>
      </c>
      <c r="AB18" s="387" t="s">
        <v>1333</v>
      </c>
      <c r="AC18" s="387" t="s">
        <v>1334</v>
      </c>
      <c r="AD18" s="387" t="s">
        <v>1333</v>
      </c>
      <c r="AE18" s="387" t="s">
        <v>1334</v>
      </c>
      <c r="AF18" s="387" t="s">
        <v>1333</v>
      </c>
      <c r="AG18" s="387" t="s">
        <v>1334</v>
      </c>
      <c r="AH18" s="387" t="s">
        <v>1333</v>
      </c>
      <c r="AI18" s="387" t="s">
        <v>1334</v>
      </c>
      <c r="AJ18" s="387" t="s">
        <v>1333</v>
      </c>
      <c r="AK18" s="387" t="s">
        <v>1334</v>
      </c>
      <c r="AL18" s="387" t="s">
        <v>1333</v>
      </c>
      <c r="AM18" s="387" t="s">
        <v>1334</v>
      </c>
      <c r="AN18" s="387" t="s">
        <v>1333</v>
      </c>
      <c r="AO18" s="387" t="s">
        <v>1334</v>
      </c>
      <c r="AP18" s="387" t="s">
        <v>1333</v>
      </c>
      <c r="AQ18" s="387" t="s">
        <v>1334</v>
      </c>
      <c r="AR18" s="387" t="s">
        <v>1333</v>
      </c>
      <c r="AS18" s="387" t="s">
        <v>1334</v>
      </c>
      <c r="AT18" s="387" t="s">
        <v>1333</v>
      </c>
      <c r="AU18" s="387" t="s">
        <v>1334</v>
      </c>
      <c r="AV18" s="387" t="s">
        <v>1333</v>
      </c>
      <c r="AW18" s="387" t="s">
        <v>1334</v>
      </c>
      <c r="AX18" s="388" t="s">
        <v>1333</v>
      </c>
      <c r="AY18" s="388" t="s">
        <v>1334</v>
      </c>
      <c r="AZ18" s="388" t="s">
        <v>1333</v>
      </c>
      <c r="BA18" s="388" t="s">
        <v>1334</v>
      </c>
      <c r="BB18" s="388" t="s">
        <v>1333</v>
      </c>
      <c r="BC18" s="388" t="s">
        <v>1334</v>
      </c>
      <c r="BD18" s="388" t="s">
        <v>1333</v>
      </c>
      <c r="BE18" s="388" t="s">
        <v>1334</v>
      </c>
      <c r="BF18" s="388" t="s">
        <v>1333</v>
      </c>
      <c r="BG18" s="388" t="s">
        <v>1334</v>
      </c>
      <c r="BH18" s="388" t="s">
        <v>1333</v>
      </c>
      <c r="BI18" s="388" t="s">
        <v>1334</v>
      </c>
      <c r="BJ18" s="388" t="s">
        <v>1333</v>
      </c>
      <c r="BK18" s="388" t="s">
        <v>1334</v>
      </c>
      <c r="BL18" s="388" t="s">
        <v>1333</v>
      </c>
      <c r="BM18" s="388" t="s">
        <v>1334</v>
      </c>
      <c r="BN18" s="388" t="s">
        <v>1333</v>
      </c>
      <c r="BO18" s="388" t="s">
        <v>1334</v>
      </c>
      <c r="BP18" s="388" t="s">
        <v>1333</v>
      </c>
      <c r="BQ18" s="388" t="s">
        <v>1334</v>
      </c>
      <c r="BR18" s="388" t="s">
        <v>1333</v>
      </c>
      <c r="BS18" s="388" t="s">
        <v>1334</v>
      </c>
      <c r="BT18" s="388" t="s">
        <v>1333</v>
      </c>
      <c r="BU18" s="388" t="s">
        <v>1334</v>
      </c>
      <c r="BV18" s="389" t="s">
        <v>1333</v>
      </c>
      <c r="BW18" s="389" t="s">
        <v>1334</v>
      </c>
      <c r="BX18" s="389" t="s">
        <v>1333</v>
      </c>
      <c r="BY18" s="389" t="s">
        <v>1334</v>
      </c>
      <c r="BZ18" s="389" t="s">
        <v>1333</v>
      </c>
      <c r="CA18" s="389" t="s">
        <v>1334</v>
      </c>
      <c r="CB18" s="389" t="s">
        <v>1333</v>
      </c>
      <c r="CC18" s="389" t="s">
        <v>1334</v>
      </c>
      <c r="CD18" s="389" t="s">
        <v>1333</v>
      </c>
      <c r="CE18" s="389" t="s">
        <v>1334</v>
      </c>
      <c r="CF18" s="389" t="s">
        <v>1333</v>
      </c>
      <c r="CG18" s="389" t="s">
        <v>1334</v>
      </c>
    </row>
    <row r="19" spans="1:85" x14ac:dyDescent="0.25">
      <c r="A19" s="397" t="s">
        <v>1335</v>
      </c>
      <c r="B19" s="398"/>
      <c r="C19" s="398"/>
      <c r="D19" s="398"/>
      <c r="E19" s="398"/>
      <c r="F19" s="398"/>
      <c r="G19" s="398"/>
      <c r="H19" s="398"/>
      <c r="I19" s="398"/>
      <c r="J19" s="398"/>
      <c r="K19" s="398"/>
      <c r="L19" s="398"/>
      <c r="M19" s="398"/>
      <c r="N19" s="398"/>
      <c r="O19" s="398"/>
      <c r="P19" s="398"/>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8"/>
      <c r="BD19" s="398"/>
      <c r="BE19" s="398"/>
      <c r="BF19" s="398"/>
      <c r="BG19" s="398"/>
      <c r="BH19" s="398"/>
      <c r="BI19" s="398"/>
      <c r="BJ19" s="398"/>
      <c r="BK19" s="398"/>
      <c r="BL19" s="398"/>
      <c r="BM19" s="398"/>
      <c r="BN19" s="398"/>
      <c r="BO19" s="398"/>
      <c r="BP19" s="398"/>
      <c r="BQ19" s="398"/>
      <c r="BR19" s="398"/>
      <c r="BS19" s="398"/>
      <c r="BT19" s="398"/>
      <c r="BU19" s="398"/>
      <c r="BV19" s="398"/>
      <c r="BW19" s="398"/>
      <c r="BX19" s="398"/>
      <c r="BY19" s="398"/>
      <c r="BZ19" s="398"/>
      <c r="CA19" s="398"/>
      <c r="CB19" s="398"/>
      <c r="CC19" s="398"/>
      <c r="CD19" s="398"/>
      <c r="CE19" s="398"/>
      <c r="CF19" s="398"/>
      <c r="CG19" s="398"/>
    </row>
    <row r="20" spans="1:85" x14ac:dyDescent="0.25">
      <c r="A20" s="399" t="s">
        <v>1340</v>
      </c>
      <c r="B20" s="399">
        <v>18356</v>
      </c>
      <c r="C20" s="399">
        <v>22026</v>
      </c>
      <c r="D20" s="399">
        <v>23176</v>
      </c>
      <c r="E20" s="399">
        <v>23562</v>
      </c>
      <c r="F20" s="399">
        <v>23326</v>
      </c>
      <c r="G20" s="399">
        <v>21987</v>
      </c>
      <c r="H20" s="399">
        <v>20755</v>
      </c>
      <c r="I20" s="399">
        <v>18911</v>
      </c>
      <c r="J20" s="399">
        <v>20705</v>
      </c>
      <c r="K20" s="399">
        <v>26752</v>
      </c>
      <c r="L20" s="399">
        <v>26400</v>
      </c>
      <c r="M20" s="399">
        <v>26307</v>
      </c>
      <c r="N20" s="399">
        <v>25999</v>
      </c>
      <c r="O20" s="399">
        <v>26225</v>
      </c>
      <c r="P20" s="399">
        <v>27603</v>
      </c>
      <c r="Q20" s="399">
        <v>29998</v>
      </c>
      <c r="R20" s="399">
        <v>31502</v>
      </c>
      <c r="S20" s="399">
        <v>32067</v>
      </c>
      <c r="T20" s="399">
        <v>34446</v>
      </c>
      <c r="U20" s="399">
        <v>36891</v>
      </c>
      <c r="V20" s="399">
        <v>37429</v>
      </c>
      <c r="W20" s="399">
        <v>35089</v>
      </c>
      <c r="X20" s="399">
        <v>34834</v>
      </c>
      <c r="Y20" s="399">
        <v>34821</v>
      </c>
      <c r="Z20" s="399">
        <v>31681</v>
      </c>
      <c r="AA20" s="399">
        <v>32131</v>
      </c>
      <c r="AB20" s="399">
        <v>32888</v>
      </c>
      <c r="AC20" s="399">
        <v>33774</v>
      </c>
      <c r="AD20" s="399">
        <v>32724</v>
      </c>
      <c r="AE20" s="399">
        <v>29535</v>
      </c>
      <c r="AF20" s="399">
        <v>28840</v>
      </c>
      <c r="AG20" s="399">
        <v>30296</v>
      </c>
      <c r="AH20" s="399">
        <v>31358</v>
      </c>
      <c r="AI20" s="399">
        <v>32608</v>
      </c>
      <c r="AJ20" s="399">
        <v>32753</v>
      </c>
      <c r="AK20" s="399">
        <v>31971</v>
      </c>
      <c r="AL20" s="399">
        <v>31833</v>
      </c>
      <c r="AM20" s="399">
        <v>31076</v>
      </c>
      <c r="AN20" s="399">
        <v>30828</v>
      </c>
      <c r="AO20" s="399">
        <v>31066</v>
      </c>
      <c r="AP20" s="399">
        <v>32121</v>
      </c>
      <c r="AQ20" s="399">
        <v>32277</v>
      </c>
      <c r="AR20" s="399">
        <v>0</v>
      </c>
      <c r="AS20" s="399">
        <v>0</v>
      </c>
      <c r="AT20" s="399">
        <v>0</v>
      </c>
      <c r="AU20" s="399">
        <v>0</v>
      </c>
      <c r="AV20" s="399">
        <v>0</v>
      </c>
      <c r="AW20" s="399">
        <v>0</v>
      </c>
      <c r="AX20" s="399">
        <v>0</v>
      </c>
      <c r="AY20" s="399">
        <v>0</v>
      </c>
      <c r="AZ20" s="399">
        <v>0</v>
      </c>
      <c r="BA20" s="399">
        <v>0</v>
      </c>
      <c r="BB20" s="399">
        <v>0</v>
      </c>
      <c r="BC20" s="399">
        <v>0</v>
      </c>
      <c r="BD20" s="399">
        <v>0</v>
      </c>
      <c r="BE20" s="399">
        <v>0</v>
      </c>
      <c r="BF20" s="399">
        <v>0</v>
      </c>
      <c r="BG20" s="399">
        <v>0</v>
      </c>
      <c r="BH20" s="399">
        <v>0</v>
      </c>
      <c r="BI20" s="399">
        <v>0</v>
      </c>
      <c r="BJ20" s="399">
        <v>0</v>
      </c>
      <c r="BK20" s="399">
        <v>0</v>
      </c>
      <c r="BL20" s="399">
        <v>0</v>
      </c>
      <c r="BM20" s="399">
        <v>0</v>
      </c>
      <c r="BN20" s="399">
        <v>0</v>
      </c>
      <c r="BO20" s="399">
        <v>0</v>
      </c>
      <c r="BP20" s="399">
        <v>56416</v>
      </c>
      <c r="BQ20" s="399">
        <v>59513</v>
      </c>
      <c r="BR20" s="399">
        <v>59668</v>
      </c>
      <c r="BS20" s="399">
        <v>59715</v>
      </c>
      <c r="BT20" s="399">
        <v>63950</v>
      </c>
      <c r="BU20" s="399">
        <v>62265</v>
      </c>
      <c r="BV20" s="399">
        <v>66999</v>
      </c>
      <c r="BW20" s="399">
        <v>64322</v>
      </c>
      <c r="BX20" s="399">
        <v>61290</v>
      </c>
      <c r="BY20" s="399">
        <v>59288</v>
      </c>
      <c r="BZ20" s="399">
        <v>56149</v>
      </c>
      <c r="CA20" s="399">
        <v>54083</v>
      </c>
      <c r="CB20" s="399">
        <v>53457</v>
      </c>
      <c r="CC20" s="399">
        <v>52708</v>
      </c>
      <c r="CD20" s="399">
        <v>51732</v>
      </c>
      <c r="CE20" s="399">
        <v>49300</v>
      </c>
      <c r="CF20" s="399">
        <v>51286</v>
      </c>
      <c r="CG20" s="399">
        <v>57878</v>
      </c>
    </row>
    <row r="21" spans="1:85" x14ac:dyDescent="0.25">
      <c r="A21" s="399" t="s">
        <v>1341</v>
      </c>
      <c r="B21" s="399">
        <v>801</v>
      </c>
      <c r="C21" s="399">
        <v>769</v>
      </c>
      <c r="D21" s="399">
        <v>773</v>
      </c>
      <c r="E21" s="399">
        <v>766</v>
      </c>
      <c r="F21" s="399">
        <v>782</v>
      </c>
      <c r="G21" s="399">
        <v>794</v>
      </c>
      <c r="H21" s="399">
        <v>791</v>
      </c>
      <c r="I21" s="399">
        <v>820</v>
      </c>
      <c r="J21" s="399">
        <v>822</v>
      </c>
      <c r="K21" s="399">
        <v>779</v>
      </c>
      <c r="L21" s="399">
        <v>753</v>
      </c>
      <c r="M21" s="399">
        <v>757</v>
      </c>
      <c r="N21" s="399">
        <v>795</v>
      </c>
      <c r="O21" s="399">
        <v>803</v>
      </c>
      <c r="P21" s="399">
        <v>804</v>
      </c>
      <c r="Q21" s="399">
        <v>839</v>
      </c>
      <c r="R21" s="399">
        <v>887</v>
      </c>
      <c r="S21" s="399">
        <v>917</v>
      </c>
      <c r="T21" s="399">
        <v>931</v>
      </c>
      <c r="U21" s="399">
        <v>958</v>
      </c>
      <c r="V21" s="399">
        <v>1018</v>
      </c>
      <c r="W21" s="399">
        <v>1053</v>
      </c>
      <c r="X21" s="399">
        <v>1098</v>
      </c>
      <c r="Y21" s="399">
        <v>1161</v>
      </c>
      <c r="Z21" s="399">
        <v>1345</v>
      </c>
      <c r="AA21" s="399">
        <v>1354</v>
      </c>
      <c r="AB21" s="399">
        <v>1384</v>
      </c>
      <c r="AC21" s="399">
        <v>1396</v>
      </c>
      <c r="AD21" s="399">
        <v>1540</v>
      </c>
      <c r="AE21" s="399">
        <v>1611</v>
      </c>
      <c r="AF21" s="399">
        <v>1718</v>
      </c>
      <c r="AG21" s="399">
        <v>1763</v>
      </c>
      <c r="AH21" s="399">
        <v>1750</v>
      </c>
      <c r="AI21" s="399">
        <v>1639</v>
      </c>
      <c r="AJ21" s="399">
        <v>1683</v>
      </c>
      <c r="AK21" s="399">
        <v>1712</v>
      </c>
      <c r="AL21" s="399">
        <v>1787</v>
      </c>
      <c r="AM21" s="399">
        <v>1879</v>
      </c>
      <c r="AN21" s="399">
        <v>1912</v>
      </c>
      <c r="AO21" s="399">
        <v>1827</v>
      </c>
      <c r="AP21" s="399">
        <v>1859</v>
      </c>
      <c r="AQ21" s="399">
        <v>1886</v>
      </c>
      <c r="AR21" s="399">
        <v>0</v>
      </c>
      <c r="AS21" s="399">
        <v>0</v>
      </c>
      <c r="AT21" s="399">
        <v>0</v>
      </c>
      <c r="AU21" s="399">
        <v>0</v>
      </c>
      <c r="AV21" s="399">
        <v>0</v>
      </c>
      <c r="AW21" s="399">
        <v>0</v>
      </c>
      <c r="AX21" s="399">
        <v>0</v>
      </c>
      <c r="AY21" s="399">
        <v>0</v>
      </c>
      <c r="AZ21" s="399">
        <v>0</v>
      </c>
      <c r="BA21" s="399">
        <v>0</v>
      </c>
      <c r="BB21" s="399">
        <v>0</v>
      </c>
      <c r="BC21" s="399">
        <v>0</v>
      </c>
      <c r="BD21" s="399">
        <v>0</v>
      </c>
      <c r="BE21" s="399">
        <v>0</v>
      </c>
      <c r="BF21" s="399">
        <v>0</v>
      </c>
      <c r="BG21" s="399">
        <v>0</v>
      </c>
      <c r="BH21" s="399">
        <v>0</v>
      </c>
      <c r="BI21" s="399">
        <v>0</v>
      </c>
      <c r="BJ21" s="399">
        <v>0</v>
      </c>
      <c r="BK21" s="399">
        <v>0</v>
      </c>
      <c r="BL21" s="399">
        <v>0</v>
      </c>
      <c r="BM21" s="399">
        <v>0</v>
      </c>
      <c r="BN21" s="399">
        <v>0</v>
      </c>
      <c r="BO21" s="399">
        <v>0</v>
      </c>
      <c r="BP21" s="399">
        <v>6214</v>
      </c>
      <c r="BQ21" s="399">
        <v>5847</v>
      </c>
      <c r="BR21" s="399">
        <v>5478</v>
      </c>
      <c r="BS21" s="399">
        <v>5292</v>
      </c>
      <c r="BT21" s="399">
        <v>5194</v>
      </c>
      <c r="BU21" s="399">
        <v>5157</v>
      </c>
      <c r="BV21" s="399">
        <v>5009</v>
      </c>
      <c r="BW21" s="399">
        <v>4606</v>
      </c>
      <c r="BX21" s="399">
        <v>4576</v>
      </c>
      <c r="BY21" s="399">
        <v>4655</v>
      </c>
      <c r="BZ21" s="399">
        <v>4935</v>
      </c>
      <c r="CA21" s="399">
        <v>5231</v>
      </c>
      <c r="CB21" s="399">
        <v>5324</v>
      </c>
      <c r="CC21" s="399">
        <v>5410</v>
      </c>
      <c r="CD21" s="399">
        <v>5684</v>
      </c>
      <c r="CE21" s="399">
        <v>5896</v>
      </c>
      <c r="CF21" s="399">
        <v>6093</v>
      </c>
      <c r="CG21" s="399">
        <v>5983</v>
      </c>
    </row>
    <row r="22" spans="1:85" x14ac:dyDescent="0.25">
      <c r="A22" s="399" t="s">
        <v>1342</v>
      </c>
      <c r="B22" s="399">
        <v>227</v>
      </c>
      <c r="C22" s="399">
        <v>219</v>
      </c>
      <c r="D22" s="399">
        <v>217</v>
      </c>
      <c r="E22" s="399">
        <v>207</v>
      </c>
      <c r="F22" s="399">
        <v>198</v>
      </c>
      <c r="G22" s="399">
        <v>189</v>
      </c>
      <c r="H22" s="399">
        <v>200</v>
      </c>
      <c r="I22" s="399">
        <v>204</v>
      </c>
      <c r="J22" s="399">
        <v>213</v>
      </c>
      <c r="K22" s="399">
        <v>202</v>
      </c>
      <c r="L22" s="399">
        <v>202</v>
      </c>
      <c r="M22" s="399">
        <v>209</v>
      </c>
      <c r="N22" s="399">
        <v>207</v>
      </c>
      <c r="O22" s="399">
        <v>200</v>
      </c>
      <c r="P22" s="399">
        <v>191</v>
      </c>
      <c r="Q22" s="399">
        <v>185</v>
      </c>
      <c r="R22" s="399">
        <v>201</v>
      </c>
      <c r="S22" s="399">
        <v>201</v>
      </c>
      <c r="T22" s="399">
        <v>217</v>
      </c>
      <c r="U22" s="399">
        <v>230</v>
      </c>
      <c r="V22" s="399">
        <v>244</v>
      </c>
      <c r="W22" s="399">
        <v>238</v>
      </c>
      <c r="X22" s="399">
        <v>229</v>
      </c>
      <c r="Y22" s="399">
        <v>226</v>
      </c>
      <c r="Z22" s="399">
        <v>256</v>
      </c>
      <c r="AA22" s="399">
        <v>262</v>
      </c>
      <c r="AB22" s="399">
        <v>272</v>
      </c>
      <c r="AC22" s="399">
        <v>278</v>
      </c>
      <c r="AD22" s="399">
        <v>287</v>
      </c>
      <c r="AE22" s="399">
        <v>318</v>
      </c>
      <c r="AF22" s="399">
        <v>327</v>
      </c>
      <c r="AG22" s="399">
        <v>322</v>
      </c>
      <c r="AH22" s="399">
        <v>339</v>
      </c>
      <c r="AI22" s="399">
        <v>354</v>
      </c>
      <c r="AJ22" s="399">
        <v>374</v>
      </c>
      <c r="AK22" s="399">
        <v>377</v>
      </c>
      <c r="AL22" s="399">
        <v>409</v>
      </c>
      <c r="AM22" s="399">
        <v>400</v>
      </c>
      <c r="AN22" s="399">
        <v>411</v>
      </c>
      <c r="AO22" s="399">
        <v>404</v>
      </c>
      <c r="AP22" s="399">
        <v>419</v>
      </c>
      <c r="AQ22" s="399">
        <v>433</v>
      </c>
      <c r="AR22" s="399">
        <v>0</v>
      </c>
      <c r="AS22" s="399">
        <v>0</v>
      </c>
      <c r="AT22" s="399">
        <v>0</v>
      </c>
      <c r="AU22" s="399">
        <v>0</v>
      </c>
      <c r="AV22" s="399">
        <v>0</v>
      </c>
      <c r="AW22" s="399">
        <v>0</v>
      </c>
      <c r="AX22" s="399">
        <v>0</v>
      </c>
      <c r="AY22" s="399">
        <v>0</v>
      </c>
      <c r="AZ22" s="399">
        <v>0</v>
      </c>
      <c r="BA22" s="399">
        <v>0</v>
      </c>
      <c r="BB22" s="399">
        <v>0</v>
      </c>
      <c r="BC22" s="399">
        <v>0</v>
      </c>
      <c r="BD22" s="399">
        <v>0</v>
      </c>
      <c r="BE22" s="399">
        <v>0</v>
      </c>
      <c r="BF22" s="399">
        <v>0</v>
      </c>
      <c r="BG22" s="399">
        <v>0</v>
      </c>
      <c r="BH22" s="399">
        <v>0</v>
      </c>
      <c r="BI22" s="399">
        <v>0</v>
      </c>
      <c r="BJ22" s="399">
        <v>0</v>
      </c>
      <c r="BK22" s="399">
        <v>0</v>
      </c>
      <c r="BL22" s="399">
        <v>0</v>
      </c>
      <c r="BM22" s="399">
        <v>0</v>
      </c>
      <c r="BN22" s="399">
        <v>0</v>
      </c>
      <c r="BO22" s="399">
        <v>0</v>
      </c>
      <c r="BP22" s="399">
        <v>916</v>
      </c>
      <c r="BQ22" s="399">
        <v>941</v>
      </c>
      <c r="BR22" s="399">
        <v>1015</v>
      </c>
      <c r="BS22" s="399">
        <v>1086</v>
      </c>
      <c r="BT22" s="399">
        <v>1231</v>
      </c>
      <c r="BU22" s="399">
        <v>1546</v>
      </c>
      <c r="BV22" s="399">
        <v>1851</v>
      </c>
      <c r="BW22" s="399">
        <v>2019</v>
      </c>
      <c r="BX22" s="399">
        <v>2145</v>
      </c>
      <c r="BY22" s="399">
        <v>2109</v>
      </c>
      <c r="BZ22" s="399">
        <v>2081</v>
      </c>
      <c r="CA22" s="399">
        <v>2088</v>
      </c>
      <c r="CB22" s="399">
        <v>2070</v>
      </c>
      <c r="CC22" s="399">
        <v>1975</v>
      </c>
      <c r="CD22" s="399">
        <v>1942</v>
      </c>
      <c r="CE22" s="399">
        <v>1921</v>
      </c>
      <c r="CF22" s="399">
        <v>1992</v>
      </c>
      <c r="CG22" s="399">
        <v>1945</v>
      </c>
    </row>
    <row r="23" spans="1:85" ht="15.95" customHeight="1" thickBot="1" x14ac:dyDescent="0.3">
      <c r="A23" s="400" t="s">
        <v>1343</v>
      </c>
      <c r="B23" s="400">
        <v>73</v>
      </c>
      <c r="C23" s="400">
        <v>75</v>
      </c>
      <c r="D23" s="400">
        <v>69</v>
      </c>
      <c r="E23" s="400">
        <v>67</v>
      </c>
      <c r="F23" s="400">
        <v>62</v>
      </c>
      <c r="G23" s="400">
        <v>60</v>
      </c>
      <c r="H23" s="400">
        <v>57</v>
      </c>
      <c r="I23" s="400">
        <v>56</v>
      </c>
      <c r="J23" s="400">
        <v>57</v>
      </c>
      <c r="K23" s="400">
        <v>54</v>
      </c>
      <c r="L23" s="400">
        <v>56</v>
      </c>
      <c r="M23" s="400">
        <v>51</v>
      </c>
      <c r="N23" s="400">
        <v>54</v>
      </c>
      <c r="O23" s="400">
        <v>55</v>
      </c>
      <c r="P23" s="400">
        <v>55</v>
      </c>
      <c r="Q23" s="400">
        <v>51</v>
      </c>
      <c r="R23" s="400">
        <v>52</v>
      </c>
      <c r="S23" s="400">
        <v>53</v>
      </c>
      <c r="T23" s="400">
        <v>63</v>
      </c>
      <c r="U23" s="400">
        <v>59</v>
      </c>
      <c r="V23" s="400">
        <v>55</v>
      </c>
      <c r="W23" s="400">
        <v>55</v>
      </c>
      <c r="X23" s="400">
        <v>53</v>
      </c>
      <c r="Y23" s="400">
        <v>53</v>
      </c>
      <c r="Z23" s="400">
        <v>61</v>
      </c>
      <c r="AA23" s="400">
        <v>57</v>
      </c>
      <c r="AB23" s="400">
        <v>56</v>
      </c>
      <c r="AC23" s="400">
        <v>56</v>
      </c>
      <c r="AD23" s="400">
        <v>56</v>
      </c>
      <c r="AE23" s="400">
        <v>55</v>
      </c>
      <c r="AF23" s="400">
        <v>56</v>
      </c>
      <c r="AG23" s="400">
        <v>55</v>
      </c>
      <c r="AH23" s="400">
        <v>58</v>
      </c>
      <c r="AI23" s="400">
        <v>57</v>
      </c>
      <c r="AJ23" s="400">
        <v>58</v>
      </c>
      <c r="AK23" s="400">
        <v>57</v>
      </c>
      <c r="AL23" s="400">
        <v>56</v>
      </c>
      <c r="AM23" s="400">
        <v>57</v>
      </c>
      <c r="AN23" s="400">
        <v>56</v>
      </c>
      <c r="AO23" s="400">
        <v>60</v>
      </c>
      <c r="AP23" s="400">
        <v>62</v>
      </c>
      <c r="AQ23" s="400">
        <v>59</v>
      </c>
      <c r="AR23" s="400">
        <v>0</v>
      </c>
      <c r="AS23" s="400">
        <v>0</v>
      </c>
      <c r="AT23" s="400">
        <v>0</v>
      </c>
      <c r="AU23" s="400">
        <v>0</v>
      </c>
      <c r="AV23" s="400">
        <v>0</v>
      </c>
      <c r="AW23" s="400">
        <v>0</v>
      </c>
      <c r="AX23" s="400">
        <v>0</v>
      </c>
      <c r="AY23" s="400">
        <v>0</v>
      </c>
      <c r="AZ23" s="400">
        <v>0</v>
      </c>
      <c r="BA23" s="400">
        <v>0</v>
      </c>
      <c r="BB23" s="400">
        <v>0</v>
      </c>
      <c r="BC23" s="400">
        <v>0</v>
      </c>
      <c r="BD23" s="400">
        <v>0</v>
      </c>
      <c r="BE23" s="400">
        <v>0</v>
      </c>
      <c r="BF23" s="400">
        <v>0</v>
      </c>
      <c r="BG23" s="400">
        <v>0</v>
      </c>
      <c r="BH23" s="400">
        <v>0</v>
      </c>
      <c r="BI23" s="400">
        <v>0</v>
      </c>
      <c r="BJ23" s="400">
        <v>0</v>
      </c>
      <c r="BK23" s="400">
        <v>0</v>
      </c>
      <c r="BL23" s="400">
        <v>0</v>
      </c>
      <c r="BM23" s="400">
        <v>0</v>
      </c>
      <c r="BN23" s="400">
        <v>0</v>
      </c>
      <c r="BO23" s="400">
        <v>0</v>
      </c>
      <c r="BP23" s="400">
        <v>86</v>
      </c>
      <c r="BQ23" s="400">
        <v>89</v>
      </c>
      <c r="BR23" s="400">
        <v>95</v>
      </c>
      <c r="BS23" s="400">
        <v>93</v>
      </c>
      <c r="BT23" s="400">
        <v>98</v>
      </c>
      <c r="BU23" s="400">
        <v>91</v>
      </c>
      <c r="BV23" s="400">
        <v>86</v>
      </c>
      <c r="BW23" s="400">
        <v>77</v>
      </c>
      <c r="BX23" s="400">
        <v>78</v>
      </c>
      <c r="BY23" s="400">
        <v>73</v>
      </c>
      <c r="BZ23" s="400">
        <v>73</v>
      </c>
      <c r="CA23" s="400">
        <v>76</v>
      </c>
      <c r="CB23" s="400">
        <v>75</v>
      </c>
      <c r="CC23" s="400">
        <v>70</v>
      </c>
      <c r="CD23" s="400">
        <v>73</v>
      </c>
      <c r="CE23" s="400">
        <v>69</v>
      </c>
      <c r="CF23" s="400">
        <v>73</v>
      </c>
      <c r="CG23" s="400">
        <v>73</v>
      </c>
    </row>
    <row r="24" spans="1:85" x14ac:dyDescent="0.25">
      <c r="A24" s="401" t="s">
        <v>1161</v>
      </c>
      <c r="B24" s="401">
        <v>19457</v>
      </c>
      <c r="C24" s="401">
        <v>23089</v>
      </c>
      <c r="D24" s="401">
        <v>24235</v>
      </c>
      <c r="E24" s="401">
        <v>24602</v>
      </c>
      <c r="F24" s="401">
        <v>24368</v>
      </c>
      <c r="G24" s="401">
        <v>23030</v>
      </c>
      <c r="H24" s="401">
        <v>21803</v>
      </c>
      <c r="I24" s="401">
        <v>19991</v>
      </c>
      <c r="J24" s="401">
        <v>21797</v>
      </c>
      <c r="K24" s="401">
        <v>27787</v>
      </c>
      <c r="L24" s="401">
        <v>27411</v>
      </c>
      <c r="M24" s="401">
        <v>27324</v>
      </c>
      <c r="N24" s="401">
        <v>27055</v>
      </c>
      <c r="O24" s="401">
        <v>27283</v>
      </c>
      <c r="P24" s="401">
        <v>28653</v>
      </c>
      <c r="Q24" s="401">
        <v>31073</v>
      </c>
      <c r="R24" s="401">
        <v>32642</v>
      </c>
      <c r="S24" s="401">
        <v>33238</v>
      </c>
      <c r="T24" s="401">
        <v>35657</v>
      </c>
      <c r="U24" s="401">
        <v>38138</v>
      </c>
      <c r="V24" s="401">
        <v>38746</v>
      </c>
      <c r="W24" s="401">
        <v>36435</v>
      </c>
      <c r="X24" s="401">
        <v>36214</v>
      </c>
      <c r="Y24" s="401">
        <v>36261</v>
      </c>
      <c r="Z24" s="401">
        <v>33343</v>
      </c>
      <c r="AA24" s="401">
        <v>33804</v>
      </c>
      <c r="AB24" s="401">
        <v>34600</v>
      </c>
      <c r="AC24" s="401">
        <v>35504</v>
      </c>
      <c r="AD24" s="401">
        <v>34607</v>
      </c>
      <c r="AE24" s="401">
        <v>31519</v>
      </c>
      <c r="AF24" s="401">
        <v>30941</v>
      </c>
      <c r="AG24" s="401">
        <v>32436</v>
      </c>
      <c r="AH24" s="401">
        <v>33505</v>
      </c>
      <c r="AI24" s="401">
        <v>34658</v>
      </c>
      <c r="AJ24" s="401">
        <v>34868</v>
      </c>
      <c r="AK24" s="401">
        <v>34117</v>
      </c>
      <c r="AL24" s="401">
        <v>34085</v>
      </c>
      <c r="AM24" s="401">
        <v>33412</v>
      </c>
      <c r="AN24" s="401">
        <v>33207</v>
      </c>
      <c r="AO24" s="401">
        <v>33357</v>
      </c>
      <c r="AP24" s="401">
        <v>34461</v>
      </c>
      <c r="AQ24" s="401">
        <v>34655</v>
      </c>
      <c r="AR24" s="401">
        <v>0</v>
      </c>
      <c r="AS24" s="401">
        <v>0</v>
      </c>
      <c r="AT24" s="401">
        <v>0</v>
      </c>
      <c r="AU24" s="401">
        <v>0</v>
      </c>
      <c r="AV24" s="401">
        <v>0</v>
      </c>
      <c r="AW24" s="401">
        <v>0</v>
      </c>
      <c r="AX24" s="401">
        <v>0</v>
      </c>
      <c r="AY24" s="401">
        <v>0</v>
      </c>
      <c r="AZ24" s="401">
        <v>0</v>
      </c>
      <c r="BA24" s="401">
        <v>0</v>
      </c>
      <c r="BB24" s="401">
        <v>0</v>
      </c>
      <c r="BC24" s="401">
        <v>0</v>
      </c>
      <c r="BD24" s="401">
        <v>0</v>
      </c>
      <c r="BE24" s="401">
        <v>0</v>
      </c>
      <c r="BF24" s="401">
        <v>0</v>
      </c>
      <c r="BG24" s="401">
        <v>0</v>
      </c>
      <c r="BH24" s="401">
        <v>0</v>
      </c>
      <c r="BI24" s="401">
        <v>0</v>
      </c>
      <c r="BJ24" s="401">
        <v>0</v>
      </c>
      <c r="BK24" s="401">
        <v>0</v>
      </c>
      <c r="BL24" s="401">
        <v>0</v>
      </c>
      <c r="BM24" s="401">
        <v>0</v>
      </c>
      <c r="BN24" s="401">
        <v>0</v>
      </c>
      <c r="BO24" s="401">
        <v>0</v>
      </c>
      <c r="BP24" s="401">
        <v>63632</v>
      </c>
      <c r="BQ24" s="401">
        <v>66390</v>
      </c>
      <c r="BR24" s="401">
        <v>66256</v>
      </c>
      <c r="BS24" s="401">
        <v>66186</v>
      </c>
      <c r="BT24" s="401">
        <v>70473</v>
      </c>
      <c r="BU24" s="401">
        <v>69059</v>
      </c>
      <c r="BV24" s="401">
        <v>73945</v>
      </c>
      <c r="BW24" s="401">
        <v>71024</v>
      </c>
      <c r="BX24" s="401">
        <v>68089</v>
      </c>
      <c r="BY24" s="401">
        <v>66125</v>
      </c>
      <c r="BZ24" s="401">
        <v>63238</v>
      </c>
      <c r="CA24" s="401">
        <v>61478</v>
      </c>
      <c r="CB24" s="401">
        <v>60926</v>
      </c>
      <c r="CC24" s="401">
        <v>60163</v>
      </c>
      <c r="CD24" s="401">
        <v>59431</v>
      </c>
      <c r="CE24" s="401">
        <v>57186</v>
      </c>
      <c r="CF24" s="401">
        <v>59444</v>
      </c>
      <c r="CG24" s="401">
        <v>65879</v>
      </c>
    </row>
    <row r="25" spans="1:85" x14ac:dyDescent="0.25">
      <c r="A25" s="397" t="s">
        <v>1336</v>
      </c>
      <c r="B25" s="398"/>
      <c r="C25" s="398"/>
      <c r="D25" s="398"/>
      <c r="E25" s="398"/>
      <c r="F25" s="398"/>
      <c r="G25" s="398"/>
      <c r="H25" s="398"/>
      <c r="I25" s="398"/>
      <c r="J25" s="398"/>
      <c r="K25" s="398"/>
      <c r="L25" s="398"/>
      <c r="M25" s="398"/>
      <c r="N25" s="398"/>
      <c r="O25" s="398"/>
      <c r="P25" s="398"/>
      <c r="Q25" s="398"/>
      <c r="R25" s="398"/>
      <c r="S25" s="398"/>
      <c r="T25" s="398"/>
      <c r="U25" s="398"/>
      <c r="V25" s="398"/>
      <c r="W25" s="398"/>
      <c r="X25" s="398"/>
      <c r="Y25" s="398"/>
      <c r="Z25" s="398"/>
      <c r="AA25" s="398"/>
      <c r="AB25" s="398"/>
      <c r="AC25" s="398"/>
      <c r="AD25" s="398"/>
      <c r="AE25" s="398"/>
      <c r="AF25" s="398"/>
      <c r="AG25" s="398"/>
      <c r="AH25" s="398"/>
      <c r="AI25" s="398"/>
      <c r="AJ25" s="398"/>
      <c r="AK25" s="398"/>
      <c r="AL25" s="398"/>
      <c r="AM25" s="398"/>
      <c r="AN25" s="398"/>
      <c r="AO25" s="398"/>
      <c r="AP25" s="398"/>
      <c r="AQ25" s="398"/>
      <c r="AR25" s="398"/>
      <c r="AS25" s="398"/>
      <c r="AT25" s="398"/>
      <c r="AU25" s="398"/>
      <c r="AV25" s="398"/>
      <c r="AW25" s="398"/>
      <c r="AX25" s="398"/>
      <c r="AY25" s="398"/>
      <c r="AZ25" s="398"/>
      <c r="BA25" s="398"/>
      <c r="BB25" s="398"/>
      <c r="BC25" s="398"/>
      <c r="BD25" s="398"/>
      <c r="BE25" s="398"/>
      <c r="BF25" s="398"/>
      <c r="BG25" s="398"/>
      <c r="BH25" s="398"/>
      <c r="BI25" s="398"/>
      <c r="BJ25" s="398"/>
      <c r="BK25" s="398"/>
      <c r="BL25" s="398"/>
      <c r="BM25" s="398"/>
      <c r="BN25" s="398"/>
      <c r="BO25" s="398"/>
      <c r="BP25" s="398"/>
      <c r="BQ25" s="398"/>
      <c r="BR25" s="398"/>
      <c r="BS25" s="398"/>
      <c r="BT25" s="398"/>
      <c r="BU25" s="398"/>
      <c r="BV25" s="398"/>
      <c r="BW25" s="398"/>
      <c r="BX25" s="398"/>
      <c r="BY25" s="398"/>
      <c r="BZ25" s="398"/>
      <c r="CA25" s="398"/>
      <c r="CB25" s="398"/>
      <c r="CC25" s="398"/>
      <c r="CD25" s="398"/>
      <c r="CE25" s="398"/>
      <c r="CF25" s="398"/>
      <c r="CG25" s="398"/>
    </row>
    <row r="26" spans="1:85" x14ac:dyDescent="0.25">
      <c r="A26" s="399" t="s">
        <v>1340</v>
      </c>
      <c r="B26" s="399">
        <v>0</v>
      </c>
      <c r="C26" s="399">
        <v>0</v>
      </c>
      <c r="D26" s="399">
        <v>0</v>
      </c>
      <c r="E26" s="399">
        <v>0</v>
      </c>
      <c r="F26" s="399">
        <v>0</v>
      </c>
      <c r="G26" s="399">
        <v>0</v>
      </c>
      <c r="H26" s="399">
        <v>0</v>
      </c>
      <c r="I26" s="399">
        <v>0</v>
      </c>
      <c r="J26" s="399">
        <v>0</v>
      </c>
      <c r="K26" s="399">
        <v>0</v>
      </c>
      <c r="L26" s="399">
        <v>0</v>
      </c>
      <c r="M26" s="399">
        <v>0</v>
      </c>
      <c r="N26" s="399">
        <v>0</v>
      </c>
      <c r="O26" s="399">
        <v>0</v>
      </c>
      <c r="P26" s="399">
        <v>0</v>
      </c>
      <c r="Q26" s="399">
        <v>0</v>
      </c>
      <c r="R26" s="399">
        <v>0</v>
      </c>
      <c r="S26" s="399">
        <v>0</v>
      </c>
      <c r="T26" s="399">
        <v>0</v>
      </c>
      <c r="U26" s="399">
        <v>0</v>
      </c>
      <c r="V26" s="399">
        <v>0</v>
      </c>
      <c r="W26" s="399">
        <v>0</v>
      </c>
      <c r="X26" s="399">
        <v>0</v>
      </c>
      <c r="Y26" s="399">
        <v>0</v>
      </c>
      <c r="Z26" s="399">
        <v>0</v>
      </c>
      <c r="AA26" s="399">
        <v>0</v>
      </c>
      <c r="AB26" s="399">
        <v>0</v>
      </c>
      <c r="AC26" s="399">
        <v>0</v>
      </c>
      <c r="AD26" s="399">
        <v>0</v>
      </c>
      <c r="AE26" s="399">
        <v>0</v>
      </c>
      <c r="AF26" s="399">
        <v>0</v>
      </c>
      <c r="AG26" s="399">
        <v>0</v>
      </c>
      <c r="AH26" s="399">
        <v>0</v>
      </c>
      <c r="AI26" s="399">
        <v>0</v>
      </c>
      <c r="AJ26" s="399">
        <v>0</v>
      </c>
      <c r="AK26" s="399">
        <v>0</v>
      </c>
      <c r="AL26" s="399">
        <v>0</v>
      </c>
      <c r="AM26" s="399">
        <v>0</v>
      </c>
      <c r="AN26" s="399">
        <v>0</v>
      </c>
      <c r="AO26" s="399">
        <v>0</v>
      </c>
      <c r="AP26" s="399">
        <v>0</v>
      </c>
      <c r="AQ26" s="399">
        <v>0</v>
      </c>
      <c r="AR26" s="399">
        <v>0</v>
      </c>
      <c r="AS26" s="399">
        <v>0</v>
      </c>
      <c r="AT26" s="399">
        <v>0</v>
      </c>
      <c r="AU26" s="399">
        <v>0</v>
      </c>
      <c r="AV26" s="399">
        <v>0</v>
      </c>
      <c r="AW26" s="399">
        <v>0</v>
      </c>
      <c r="AX26" s="399">
        <v>0</v>
      </c>
      <c r="AY26" s="399">
        <v>0</v>
      </c>
      <c r="AZ26" s="399">
        <v>0</v>
      </c>
      <c r="BA26" s="399">
        <v>0</v>
      </c>
      <c r="BB26" s="399">
        <v>0</v>
      </c>
      <c r="BC26" s="399">
        <v>0</v>
      </c>
      <c r="BD26" s="399">
        <v>0</v>
      </c>
      <c r="BE26" s="399">
        <v>0</v>
      </c>
      <c r="BF26" s="399">
        <v>0</v>
      </c>
      <c r="BG26" s="399">
        <v>0</v>
      </c>
      <c r="BH26" s="399">
        <v>0</v>
      </c>
      <c r="BI26" s="399">
        <v>0</v>
      </c>
      <c r="BJ26" s="399">
        <v>0</v>
      </c>
      <c r="BK26" s="399">
        <v>0</v>
      </c>
      <c r="BL26" s="399">
        <v>0</v>
      </c>
      <c r="BM26" s="399">
        <v>0</v>
      </c>
      <c r="BN26" s="399">
        <v>0</v>
      </c>
      <c r="BO26" s="399">
        <v>0</v>
      </c>
      <c r="BP26" s="399">
        <v>392</v>
      </c>
      <c r="BQ26" s="399">
        <v>393</v>
      </c>
      <c r="BR26" s="399">
        <v>497</v>
      </c>
      <c r="BS26" s="399">
        <v>599</v>
      </c>
      <c r="BT26" s="399">
        <v>756</v>
      </c>
      <c r="BU26" s="399">
        <v>844</v>
      </c>
      <c r="BV26" s="399">
        <v>911</v>
      </c>
      <c r="BW26" s="399">
        <v>734</v>
      </c>
      <c r="BX26" s="399">
        <v>383</v>
      </c>
      <c r="BY26" s="399">
        <v>226</v>
      </c>
      <c r="BZ26" s="399">
        <v>120</v>
      </c>
      <c r="CA26" s="399">
        <v>129</v>
      </c>
      <c r="CB26" s="399">
        <v>154</v>
      </c>
      <c r="CC26" s="399">
        <v>186</v>
      </c>
      <c r="CD26" s="399">
        <v>147</v>
      </c>
      <c r="CE26" s="399">
        <v>141</v>
      </c>
      <c r="CF26" s="399">
        <v>128</v>
      </c>
      <c r="CG26" s="399">
        <v>204</v>
      </c>
    </row>
    <row r="27" spans="1:85" x14ac:dyDescent="0.25">
      <c r="A27" s="399" t="s">
        <v>1341</v>
      </c>
      <c r="B27" s="399">
        <v>0</v>
      </c>
      <c r="C27" s="399">
        <v>0</v>
      </c>
      <c r="D27" s="399">
        <v>0</v>
      </c>
      <c r="E27" s="399">
        <v>0</v>
      </c>
      <c r="F27" s="399">
        <v>0</v>
      </c>
      <c r="G27" s="399">
        <v>0</v>
      </c>
      <c r="H27" s="399">
        <v>0</v>
      </c>
      <c r="I27" s="399">
        <v>0</v>
      </c>
      <c r="J27" s="399">
        <v>0</v>
      </c>
      <c r="K27" s="399">
        <v>0</v>
      </c>
      <c r="L27" s="399">
        <v>0</v>
      </c>
      <c r="M27" s="399">
        <v>0</v>
      </c>
      <c r="N27" s="399">
        <v>0</v>
      </c>
      <c r="O27" s="399">
        <v>0</v>
      </c>
      <c r="P27" s="399">
        <v>0</v>
      </c>
      <c r="Q27" s="399">
        <v>0</v>
      </c>
      <c r="R27" s="399">
        <v>0</v>
      </c>
      <c r="S27" s="399">
        <v>0</v>
      </c>
      <c r="T27" s="399">
        <v>0</v>
      </c>
      <c r="U27" s="399">
        <v>0</v>
      </c>
      <c r="V27" s="399">
        <v>0</v>
      </c>
      <c r="W27" s="399">
        <v>0</v>
      </c>
      <c r="X27" s="399">
        <v>0</v>
      </c>
      <c r="Y27" s="399">
        <v>0</v>
      </c>
      <c r="Z27" s="399">
        <v>0</v>
      </c>
      <c r="AA27" s="399">
        <v>0</v>
      </c>
      <c r="AB27" s="399">
        <v>0</v>
      </c>
      <c r="AC27" s="399">
        <v>0</v>
      </c>
      <c r="AD27" s="399">
        <v>0</v>
      </c>
      <c r="AE27" s="399">
        <v>0</v>
      </c>
      <c r="AF27" s="399">
        <v>0</v>
      </c>
      <c r="AG27" s="399">
        <v>0</v>
      </c>
      <c r="AH27" s="399">
        <v>0</v>
      </c>
      <c r="AI27" s="399">
        <v>0</v>
      </c>
      <c r="AJ27" s="399">
        <v>0</v>
      </c>
      <c r="AK27" s="399">
        <v>0</v>
      </c>
      <c r="AL27" s="399">
        <v>0</v>
      </c>
      <c r="AM27" s="399">
        <v>0</v>
      </c>
      <c r="AN27" s="399">
        <v>0</v>
      </c>
      <c r="AO27" s="399">
        <v>0</v>
      </c>
      <c r="AP27" s="399">
        <v>0</v>
      </c>
      <c r="AQ27" s="399">
        <v>0</v>
      </c>
      <c r="AR27" s="399">
        <v>0</v>
      </c>
      <c r="AS27" s="399">
        <v>0</v>
      </c>
      <c r="AT27" s="399">
        <v>0</v>
      </c>
      <c r="AU27" s="399">
        <v>0</v>
      </c>
      <c r="AV27" s="399">
        <v>0</v>
      </c>
      <c r="AW27" s="399">
        <v>0</v>
      </c>
      <c r="AX27" s="399">
        <v>0</v>
      </c>
      <c r="AY27" s="399">
        <v>0</v>
      </c>
      <c r="AZ27" s="399">
        <v>0</v>
      </c>
      <c r="BA27" s="399">
        <v>0</v>
      </c>
      <c r="BB27" s="399">
        <v>0</v>
      </c>
      <c r="BC27" s="399">
        <v>0</v>
      </c>
      <c r="BD27" s="399">
        <v>0</v>
      </c>
      <c r="BE27" s="399">
        <v>0</v>
      </c>
      <c r="BF27" s="399">
        <v>0</v>
      </c>
      <c r="BG27" s="399">
        <v>0</v>
      </c>
      <c r="BH27" s="399">
        <v>0</v>
      </c>
      <c r="BI27" s="399">
        <v>0</v>
      </c>
      <c r="BJ27" s="399">
        <v>0</v>
      </c>
      <c r="BK27" s="399">
        <v>0</v>
      </c>
      <c r="BL27" s="399">
        <v>0</v>
      </c>
      <c r="BM27" s="399">
        <v>0</v>
      </c>
      <c r="BN27" s="399">
        <v>0</v>
      </c>
      <c r="BO27" s="399">
        <v>0</v>
      </c>
      <c r="BP27" s="399">
        <v>0</v>
      </c>
      <c r="BQ27" s="399">
        <v>0</v>
      </c>
      <c r="BR27" s="399">
        <v>0</v>
      </c>
      <c r="BS27" s="399">
        <v>0</v>
      </c>
      <c r="BT27" s="399">
        <v>6</v>
      </c>
      <c r="BU27" s="399">
        <v>6</v>
      </c>
      <c r="BV27" s="399">
        <v>6</v>
      </c>
      <c r="BW27" s="399">
        <v>5</v>
      </c>
      <c r="BX27" s="399">
        <v>5</v>
      </c>
      <c r="BY27" s="399">
        <v>5</v>
      </c>
      <c r="BZ27" s="399">
        <v>5</v>
      </c>
      <c r="CA27" s="399">
        <v>5</v>
      </c>
      <c r="CB27" s="399">
        <v>5</v>
      </c>
      <c r="CC27" s="399">
        <v>0</v>
      </c>
      <c r="CD27" s="399">
        <v>0</v>
      </c>
      <c r="CE27" s="399">
        <v>0</v>
      </c>
      <c r="CF27" s="399">
        <v>0</v>
      </c>
      <c r="CG27" s="399">
        <v>0</v>
      </c>
    </row>
    <row r="28" spans="1:85" x14ac:dyDescent="0.25">
      <c r="A28" s="399" t="s">
        <v>1342</v>
      </c>
      <c r="B28" s="399">
        <v>0</v>
      </c>
      <c r="C28" s="399">
        <v>0</v>
      </c>
      <c r="D28" s="399">
        <v>0</v>
      </c>
      <c r="E28" s="399">
        <v>0</v>
      </c>
      <c r="F28" s="399">
        <v>0</v>
      </c>
      <c r="G28" s="399">
        <v>0</v>
      </c>
      <c r="H28" s="399">
        <v>0</v>
      </c>
      <c r="I28" s="399">
        <v>0</v>
      </c>
      <c r="J28" s="399">
        <v>0</v>
      </c>
      <c r="K28" s="399">
        <v>0</v>
      </c>
      <c r="L28" s="399">
        <v>0</v>
      </c>
      <c r="M28" s="399">
        <v>0</v>
      </c>
      <c r="N28" s="399">
        <v>0</v>
      </c>
      <c r="O28" s="399">
        <v>0</v>
      </c>
      <c r="P28" s="399">
        <v>0</v>
      </c>
      <c r="Q28" s="399">
        <v>0</v>
      </c>
      <c r="R28" s="399">
        <v>0</v>
      </c>
      <c r="S28" s="399">
        <v>0</v>
      </c>
      <c r="T28" s="399">
        <v>0</v>
      </c>
      <c r="U28" s="399">
        <v>0</v>
      </c>
      <c r="V28" s="399">
        <v>0</v>
      </c>
      <c r="W28" s="399">
        <v>0</v>
      </c>
      <c r="X28" s="399">
        <v>0</v>
      </c>
      <c r="Y28" s="399">
        <v>0</v>
      </c>
      <c r="Z28" s="399">
        <v>0</v>
      </c>
      <c r="AA28" s="399">
        <v>0</v>
      </c>
      <c r="AB28" s="399">
        <v>0</v>
      </c>
      <c r="AC28" s="399">
        <v>0</v>
      </c>
      <c r="AD28" s="399">
        <v>0</v>
      </c>
      <c r="AE28" s="399">
        <v>0</v>
      </c>
      <c r="AF28" s="399">
        <v>0</v>
      </c>
      <c r="AG28" s="399">
        <v>0</v>
      </c>
      <c r="AH28" s="399">
        <v>0</v>
      </c>
      <c r="AI28" s="399">
        <v>0</v>
      </c>
      <c r="AJ28" s="399">
        <v>0</v>
      </c>
      <c r="AK28" s="399">
        <v>0</v>
      </c>
      <c r="AL28" s="399">
        <v>0</v>
      </c>
      <c r="AM28" s="399">
        <v>0</v>
      </c>
      <c r="AN28" s="399">
        <v>0</v>
      </c>
      <c r="AO28" s="399">
        <v>0</v>
      </c>
      <c r="AP28" s="399">
        <v>0</v>
      </c>
      <c r="AQ28" s="399">
        <v>0</v>
      </c>
      <c r="AR28" s="399">
        <v>0</v>
      </c>
      <c r="AS28" s="399">
        <v>0</v>
      </c>
      <c r="AT28" s="399">
        <v>0</v>
      </c>
      <c r="AU28" s="399">
        <v>0</v>
      </c>
      <c r="AV28" s="399">
        <v>0</v>
      </c>
      <c r="AW28" s="399">
        <v>0</v>
      </c>
      <c r="AX28" s="399">
        <v>0</v>
      </c>
      <c r="AY28" s="399">
        <v>0</v>
      </c>
      <c r="AZ28" s="399">
        <v>0</v>
      </c>
      <c r="BA28" s="399">
        <v>0</v>
      </c>
      <c r="BB28" s="399">
        <v>0</v>
      </c>
      <c r="BC28" s="399">
        <v>0</v>
      </c>
      <c r="BD28" s="399">
        <v>0</v>
      </c>
      <c r="BE28" s="399">
        <v>0</v>
      </c>
      <c r="BF28" s="399">
        <v>0</v>
      </c>
      <c r="BG28" s="399">
        <v>0</v>
      </c>
      <c r="BH28" s="399">
        <v>0</v>
      </c>
      <c r="BI28" s="399">
        <v>0</v>
      </c>
      <c r="BJ28" s="399">
        <v>0</v>
      </c>
      <c r="BK28" s="399">
        <v>0</v>
      </c>
      <c r="BL28" s="399">
        <v>0</v>
      </c>
      <c r="BM28" s="399">
        <v>0</v>
      </c>
      <c r="BN28" s="399">
        <v>0</v>
      </c>
      <c r="BO28" s="399">
        <v>0</v>
      </c>
      <c r="BP28" s="399">
        <v>0</v>
      </c>
      <c r="BQ28" s="399">
        <v>0</v>
      </c>
      <c r="BR28" s="399">
        <v>0</v>
      </c>
      <c r="BS28" s="399">
        <v>0</v>
      </c>
      <c r="BT28" s="399">
        <v>0</v>
      </c>
      <c r="BU28" s="399">
        <v>0</v>
      </c>
      <c r="BV28" s="399">
        <v>0</v>
      </c>
      <c r="BW28" s="399">
        <v>0</v>
      </c>
      <c r="BX28" s="399">
        <v>0</v>
      </c>
      <c r="BY28" s="399">
        <v>0</v>
      </c>
      <c r="BZ28" s="399">
        <v>0</v>
      </c>
      <c r="CA28" s="399">
        <v>0</v>
      </c>
      <c r="CB28" s="399">
        <v>0</v>
      </c>
      <c r="CC28" s="399">
        <v>0</v>
      </c>
      <c r="CD28" s="399">
        <v>0</v>
      </c>
      <c r="CE28" s="399">
        <v>0</v>
      </c>
      <c r="CF28" s="399">
        <v>0</v>
      </c>
      <c r="CG28" s="399">
        <v>0</v>
      </c>
    </row>
    <row r="29" spans="1:85" ht="15.95" customHeight="1" thickBot="1" x14ac:dyDescent="0.3">
      <c r="A29" s="400" t="s">
        <v>1343</v>
      </c>
      <c r="B29" s="400">
        <v>0</v>
      </c>
      <c r="C29" s="400">
        <v>0</v>
      </c>
      <c r="D29" s="400">
        <v>0</v>
      </c>
      <c r="E29" s="400">
        <v>0</v>
      </c>
      <c r="F29" s="400">
        <v>0</v>
      </c>
      <c r="G29" s="400">
        <v>0</v>
      </c>
      <c r="H29" s="400">
        <v>0</v>
      </c>
      <c r="I29" s="400">
        <v>0</v>
      </c>
      <c r="J29" s="400">
        <v>0</v>
      </c>
      <c r="K29" s="400">
        <v>0</v>
      </c>
      <c r="L29" s="400">
        <v>0</v>
      </c>
      <c r="M29" s="400">
        <v>0</v>
      </c>
      <c r="N29" s="400">
        <v>0</v>
      </c>
      <c r="O29" s="400">
        <v>0</v>
      </c>
      <c r="P29" s="400">
        <v>0</v>
      </c>
      <c r="Q29" s="400">
        <v>0</v>
      </c>
      <c r="R29" s="400">
        <v>0</v>
      </c>
      <c r="S29" s="400">
        <v>0</v>
      </c>
      <c r="T29" s="400">
        <v>0</v>
      </c>
      <c r="U29" s="400">
        <v>0</v>
      </c>
      <c r="V29" s="400">
        <v>0</v>
      </c>
      <c r="W29" s="400">
        <v>0</v>
      </c>
      <c r="X29" s="400">
        <v>0</v>
      </c>
      <c r="Y29" s="400">
        <v>0</v>
      </c>
      <c r="Z29" s="400">
        <v>0</v>
      </c>
      <c r="AA29" s="400">
        <v>0</v>
      </c>
      <c r="AB29" s="400">
        <v>0</v>
      </c>
      <c r="AC29" s="400">
        <v>0</v>
      </c>
      <c r="AD29" s="400">
        <v>0</v>
      </c>
      <c r="AE29" s="400">
        <v>0</v>
      </c>
      <c r="AF29" s="400">
        <v>0</v>
      </c>
      <c r="AG29" s="400">
        <v>0</v>
      </c>
      <c r="AH29" s="400">
        <v>0</v>
      </c>
      <c r="AI29" s="400">
        <v>0</v>
      </c>
      <c r="AJ29" s="400">
        <v>0</v>
      </c>
      <c r="AK29" s="400">
        <v>0</v>
      </c>
      <c r="AL29" s="400">
        <v>0</v>
      </c>
      <c r="AM29" s="400">
        <v>0</v>
      </c>
      <c r="AN29" s="400">
        <v>0</v>
      </c>
      <c r="AO29" s="400">
        <v>0</v>
      </c>
      <c r="AP29" s="400">
        <v>0</v>
      </c>
      <c r="AQ29" s="400">
        <v>0</v>
      </c>
      <c r="AR29" s="400">
        <v>0</v>
      </c>
      <c r="AS29" s="400">
        <v>0</v>
      </c>
      <c r="AT29" s="400">
        <v>0</v>
      </c>
      <c r="AU29" s="400">
        <v>0</v>
      </c>
      <c r="AV29" s="400">
        <v>0</v>
      </c>
      <c r="AW29" s="400">
        <v>0</v>
      </c>
      <c r="AX29" s="400">
        <v>0</v>
      </c>
      <c r="AY29" s="400">
        <v>0</v>
      </c>
      <c r="AZ29" s="400">
        <v>0</v>
      </c>
      <c r="BA29" s="400">
        <v>0</v>
      </c>
      <c r="BB29" s="400">
        <v>0</v>
      </c>
      <c r="BC29" s="400">
        <v>0</v>
      </c>
      <c r="BD29" s="400">
        <v>0</v>
      </c>
      <c r="BE29" s="400">
        <v>0</v>
      </c>
      <c r="BF29" s="400">
        <v>0</v>
      </c>
      <c r="BG29" s="400">
        <v>0</v>
      </c>
      <c r="BH29" s="400">
        <v>0</v>
      </c>
      <c r="BI29" s="400">
        <v>0</v>
      </c>
      <c r="BJ29" s="400">
        <v>0</v>
      </c>
      <c r="BK29" s="400">
        <v>0</v>
      </c>
      <c r="BL29" s="400">
        <v>0</v>
      </c>
      <c r="BM29" s="400">
        <v>0</v>
      </c>
      <c r="BN29" s="400">
        <v>0</v>
      </c>
      <c r="BO29" s="400">
        <v>0</v>
      </c>
      <c r="BP29" s="400">
        <v>0</v>
      </c>
      <c r="BQ29" s="400">
        <v>0</v>
      </c>
      <c r="BR29" s="400">
        <v>0</v>
      </c>
      <c r="BS29" s="400">
        <v>0</v>
      </c>
      <c r="BT29" s="400">
        <v>0</v>
      </c>
      <c r="BU29" s="400">
        <v>0</v>
      </c>
      <c r="BV29" s="400">
        <v>0</v>
      </c>
      <c r="BW29" s="400">
        <v>0</v>
      </c>
      <c r="BX29" s="400">
        <v>0</v>
      </c>
      <c r="BY29" s="400">
        <v>0</v>
      </c>
      <c r="BZ29" s="400">
        <v>0</v>
      </c>
      <c r="CA29" s="400">
        <v>0</v>
      </c>
      <c r="CB29" s="400">
        <v>0</v>
      </c>
      <c r="CC29" s="400">
        <v>0</v>
      </c>
      <c r="CD29" s="400">
        <v>0</v>
      </c>
      <c r="CE29" s="400">
        <v>0</v>
      </c>
      <c r="CF29" s="400">
        <v>0</v>
      </c>
      <c r="CG29" s="400">
        <v>0</v>
      </c>
    </row>
    <row r="30" spans="1:85" x14ac:dyDescent="0.25">
      <c r="A30" s="401" t="s">
        <v>1161</v>
      </c>
      <c r="B30" s="401">
        <v>0</v>
      </c>
      <c r="C30" s="401">
        <v>0</v>
      </c>
      <c r="D30" s="401">
        <v>0</v>
      </c>
      <c r="E30" s="401">
        <v>0</v>
      </c>
      <c r="F30" s="401">
        <v>0</v>
      </c>
      <c r="G30" s="401">
        <v>0</v>
      </c>
      <c r="H30" s="401">
        <v>0</v>
      </c>
      <c r="I30" s="401">
        <v>0</v>
      </c>
      <c r="J30" s="401">
        <v>0</v>
      </c>
      <c r="K30" s="401">
        <v>0</v>
      </c>
      <c r="L30" s="401">
        <v>0</v>
      </c>
      <c r="M30" s="401">
        <v>0</v>
      </c>
      <c r="N30" s="401">
        <v>0</v>
      </c>
      <c r="O30" s="401">
        <v>0</v>
      </c>
      <c r="P30" s="401">
        <v>0</v>
      </c>
      <c r="Q30" s="401">
        <v>0</v>
      </c>
      <c r="R30" s="401">
        <v>0</v>
      </c>
      <c r="S30" s="401">
        <v>0</v>
      </c>
      <c r="T30" s="401">
        <v>0</v>
      </c>
      <c r="U30" s="401">
        <v>0</v>
      </c>
      <c r="V30" s="401">
        <v>0</v>
      </c>
      <c r="W30" s="401">
        <v>0</v>
      </c>
      <c r="X30" s="401">
        <v>0</v>
      </c>
      <c r="Y30" s="401">
        <v>0</v>
      </c>
      <c r="Z30" s="401">
        <v>0</v>
      </c>
      <c r="AA30" s="401">
        <v>0</v>
      </c>
      <c r="AB30" s="401">
        <v>0</v>
      </c>
      <c r="AC30" s="401">
        <v>0</v>
      </c>
      <c r="AD30" s="401">
        <v>0</v>
      </c>
      <c r="AE30" s="401">
        <v>0</v>
      </c>
      <c r="AF30" s="401">
        <v>0</v>
      </c>
      <c r="AG30" s="401">
        <v>0</v>
      </c>
      <c r="AH30" s="401">
        <v>0</v>
      </c>
      <c r="AI30" s="401">
        <v>0</v>
      </c>
      <c r="AJ30" s="401">
        <v>0</v>
      </c>
      <c r="AK30" s="401">
        <v>0</v>
      </c>
      <c r="AL30" s="401">
        <v>0</v>
      </c>
      <c r="AM30" s="401">
        <v>0</v>
      </c>
      <c r="AN30" s="401">
        <v>0</v>
      </c>
      <c r="AO30" s="401">
        <v>0</v>
      </c>
      <c r="AP30" s="401">
        <v>0</v>
      </c>
      <c r="AQ30" s="401">
        <v>0</v>
      </c>
      <c r="AR30" s="401">
        <v>0</v>
      </c>
      <c r="AS30" s="401">
        <v>0</v>
      </c>
      <c r="AT30" s="401">
        <v>0</v>
      </c>
      <c r="AU30" s="401">
        <v>0</v>
      </c>
      <c r="AV30" s="401">
        <v>0</v>
      </c>
      <c r="AW30" s="401">
        <v>0</v>
      </c>
      <c r="AX30" s="401">
        <v>0</v>
      </c>
      <c r="AY30" s="401">
        <v>0</v>
      </c>
      <c r="AZ30" s="401">
        <v>0</v>
      </c>
      <c r="BA30" s="401">
        <v>0</v>
      </c>
      <c r="BB30" s="401">
        <v>0</v>
      </c>
      <c r="BC30" s="401">
        <v>0</v>
      </c>
      <c r="BD30" s="401">
        <v>0</v>
      </c>
      <c r="BE30" s="401">
        <v>0</v>
      </c>
      <c r="BF30" s="401">
        <v>0</v>
      </c>
      <c r="BG30" s="401">
        <v>0</v>
      </c>
      <c r="BH30" s="401">
        <v>0</v>
      </c>
      <c r="BI30" s="401">
        <v>0</v>
      </c>
      <c r="BJ30" s="401">
        <v>0</v>
      </c>
      <c r="BK30" s="401">
        <v>0</v>
      </c>
      <c r="BL30" s="401">
        <v>0</v>
      </c>
      <c r="BM30" s="401">
        <v>0</v>
      </c>
      <c r="BN30" s="401">
        <v>0</v>
      </c>
      <c r="BO30" s="401">
        <v>0</v>
      </c>
      <c r="BP30" s="401">
        <v>392</v>
      </c>
      <c r="BQ30" s="401">
        <v>393</v>
      </c>
      <c r="BR30" s="401">
        <v>497</v>
      </c>
      <c r="BS30" s="401">
        <v>599</v>
      </c>
      <c r="BT30" s="401">
        <v>762</v>
      </c>
      <c r="BU30" s="401">
        <v>850</v>
      </c>
      <c r="BV30" s="401">
        <v>917</v>
      </c>
      <c r="BW30" s="401">
        <v>739</v>
      </c>
      <c r="BX30" s="401">
        <v>388</v>
      </c>
      <c r="BY30" s="401">
        <v>231</v>
      </c>
      <c r="BZ30" s="401">
        <v>125</v>
      </c>
      <c r="CA30" s="401">
        <v>134</v>
      </c>
      <c r="CB30" s="401">
        <v>159</v>
      </c>
      <c r="CC30" s="401">
        <v>186</v>
      </c>
      <c r="CD30" s="401">
        <v>147</v>
      </c>
      <c r="CE30" s="401">
        <v>141</v>
      </c>
      <c r="CF30" s="401">
        <v>128</v>
      </c>
      <c r="CG30" s="401">
        <v>204</v>
      </c>
    </row>
    <row r="31" spans="1:85" x14ac:dyDescent="0.25">
      <c r="A31" s="397" t="s">
        <v>1337</v>
      </c>
      <c r="B31" s="398"/>
      <c r="C31" s="398"/>
      <c r="D31" s="398"/>
      <c r="E31" s="398"/>
      <c r="F31" s="398"/>
      <c r="G31" s="398"/>
      <c r="H31" s="398"/>
      <c r="I31" s="398"/>
      <c r="J31" s="398"/>
      <c r="K31" s="398"/>
      <c r="L31" s="398"/>
      <c r="M31" s="398"/>
      <c r="N31" s="398"/>
      <c r="O31" s="398"/>
      <c r="P31" s="398"/>
      <c r="Q31" s="398"/>
      <c r="R31" s="398"/>
      <c r="S31" s="398"/>
      <c r="T31" s="398"/>
      <c r="U31" s="398"/>
      <c r="V31" s="398"/>
      <c r="W31" s="398"/>
      <c r="X31" s="398"/>
      <c r="Y31" s="398"/>
      <c r="Z31" s="398"/>
      <c r="AA31" s="398"/>
      <c r="AB31" s="398"/>
      <c r="AC31" s="398"/>
      <c r="AD31" s="398"/>
      <c r="AE31" s="398"/>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8"/>
      <c r="BK31" s="398"/>
      <c r="BL31" s="398"/>
      <c r="BM31" s="398"/>
      <c r="BN31" s="398"/>
      <c r="BO31" s="398"/>
      <c r="BP31" s="398"/>
      <c r="BQ31" s="398"/>
      <c r="BR31" s="398"/>
      <c r="BS31" s="398"/>
      <c r="BT31" s="398"/>
      <c r="BU31" s="398"/>
      <c r="BV31" s="398"/>
      <c r="BW31" s="398"/>
      <c r="BX31" s="398"/>
      <c r="BY31" s="398"/>
      <c r="BZ31" s="398"/>
      <c r="CA31" s="398"/>
      <c r="CB31" s="398"/>
      <c r="CC31" s="398"/>
      <c r="CD31" s="398"/>
      <c r="CE31" s="398"/>
      <c r="CF31" s="398"/>
      <c r="CG31" s="398"/>
    </row>
    <row r="32" spans="1:85" x14ac:dyDescent="0.25">
      <c r="A32" s="399" t="s">
        <v>1340</v>
      </c>
      <c r="B32" s="399">
        <v>2089</v>
      </c>
      <c r="C32" s="399">
        <v>2861</v>
      </c>
      <c r="D32" s="399">
        <v>3122</v>
      </c>
      <c r="E32" s="399">
        <v>3678</v>
      </c>
      <c r="F32" s="399">
        <v>4536</v>
      </c>
      <c r="G32" s="399">
        <v>4211</v>
      </c>
      <c r="H32" s="399">
        <v>3888</v>
      </c>
      <c r="I32" s="399">
        <v>3252</v>
      </c>
      <c r="J32" s="399">
        <v>2737</v>
      </c>
      <c r="K32" s="399">
        <v>3312</v>
      </c>
      <c r="L32" s="399">
        <v>3855</v>
      </c>
      <c r="M32" s="399">
        <v>3889</v>
      </c>
      <c r="N32" s="399">
        <v>4048</v>
      </c>
      <c r="O32" s="399">
        <v>3905</v>
      </c>
      <c r="P32" s="399">
        <v>3590</v>
      </c>
      <c r="Q32" s="399">
        <v>3576</v>
      </c>
      <c r="R32" s="399">
        <v>3476</v>
      </c>
      <c r="S32" s="399">
        <v>3669</v>
      </c>
      <c r="T32" s="399">
        <v>3272</v>
      </c>
      <c r="U32" s="399">
        <v>2536</v>
      </c>
      <c r="V32" s="399">
        <v>2338</v>
      </c>
      <c r="W32" s="399">
        <v>1844</v>
      </c>
      <c r="X32" s="399">
        <v>1360</v>
      </c>
      <c r="Y32" s="399">
        <v>1060</v>
      </c>
      <c r="Z32" s="399">
        <v>5065</v>
      </c>
      <c r="AA32" s="399">
        <v>5236</v>
      </c>
      <c r="AB32" s="399">
        <v>5427</v>
      </c>
      <c r="AC32" s="399">
        <v>5166</v>
      </c>
      <c r="AD32" s="399">
        <v>4991</v>
      </c>
      <c r="AE32" s="399">
        <v>4728</v>
      </c>
      <c r="AF32" s="399">
        <v>4397</v>
      </c>
      <c r="AG32" s="399">
        <v>4289</v>
      </c>
      <c r="AH32" s="399">
        <v>4095</v>
      </c>
      <c r="AI32" s="399">
        <v>3882</v>
      </c>
      <c r="AJ32" s="399">
        <v>3648</v>
      </c>
      <c r="AK32" s="399">
        <v>3595</v>
      </c>
      <c r="AL32" s="399">
        <v>3741</v>
      </c>
      <c r="AM32" s="399">
        <v>3782</v>
      </c>
      <c r="AN32" s="399">
        <v>3849</v>
      </c>
      <c r="AO32" s="399">
        <v>3712</v>
      </c>
      <c r="AP32" s="399">
        <v>3730</v>
      </c>
      <c r="AQ32" s="399">
        <v>3995</v>
      </c>
      <c r="AR32" s="399">
        <v>0</v>
      </c>
      <c r="AS32" s="399">
        <v>0</v>
      </c>
      <c r="AT32" s="399">
        <v>0</v>
      </c>
      <c r="AU32" s="399">
        <v>0</v>
      </c>
      <c r="AV32" s="399">
        <v>0</v>
      </c>
      <c r="AW32" s="399">
        <v>0</v>
      </c>
      <c r="AX32" s="399">
        <v>0</v>
      </c>
      <c r="AY32" s="399">
        <v>0</v>
      </c>
      <c r="AZ32" s="399">
        <v>0</v>
      </c>
      <c r="BA32" s="399">
        <v>0</v>
      </c>
      <c r="BB32" s="399">
        <v>0</v>
      </c>
      <c r="BC32" s="399">
        <v>0</v>
      </c>
      <c r="BD32" s="399">
        <v>0</v>
      </c>
      <c r="BE32" s="399">
        <v>0</v>
      </c>
      <c r="BF32" s="399">
        <v>0</v>
      </c>
      <c r="BG32" s="399">
        <v>0</v>
      </c>
      <c r="BH32" s="399">
        <v>0</v>
      </c>
      <c r="BI32" s="399">
        <v>0</v>
      </c>
      <c r="BJ32" s="399">
        <v>0</v>
      </c>
      <c r="BK32" s="399">
        <v>0</v>
      </c>
      <c r="BL32" s="399">
        <v>0</v>
      </c>
      <c r="BM32" s="399">
        <v>0</v>
      </c>
      <c r="BN32" s="399">
        <v>0</v>
      </c>
      <c r="BO32" s="399">
        <v>0</v>
      </c>
      <c r="BP32" s="399">
        <v>653</v>
      </c>
      <c r="BQ32" s="399">
        <v>666</v>
      </c>
      <c r="BR32" s="399">
        <v>649</v>
      </c>
      <c r="BS32" s="399">
        <v>596</v>
      </c>
      <c r="BT32" s="399">
        <v>510</v>
      </c>
      <c r="BU32" s="399">
        <v>467</v>
      </c>
      <c r="BV32" s="399">
        <v>441</v>
      </c>
      <c r="BW32" s="399">
        <v>397</v>
      </c>
      <c r="BX32" s="399">
        <v>357</v>
      </c>
      <c r="BY32" s="399">
        <v>303</v>
      </c>
      <c r="BZ32" s="399">
        <v>282</v>
      </c>
      <c r="CA32" s="399">
        <v>260</v>
      </c>
      <c r="CB32" s="399">
        <v>239</v>
      </c>
      <c r="CC32" s="399">
        <v>202</v>
      </c>
      <c r="CD32" s="399">
        <v>189</v>
      </c>
      <c r="CE32" s="399">
        <v>166</v>
      </c>
      <c r="CF32" s="399">
        <v>153</v>
      </c>
      <c r="CG32" s="399">
        <v>145</v>
      </c>
    </row>
    <row r="33" spans="1:85" x14ac:dyDescent="0.25">
      <c r="A33" s="399" t="s">
        <v>1341</v>
      </c>
      <c r="B33" s="399">
        <v>153</v>
      </c>
      <c r="C33" s="399">
        <v>157</v>
      </c>
      <c r="D33" s="399">
        <v>175</v>
      </c>
      <c r="E33" s="399">
        <v>183</v>
      </c>
      <c r="F33" s="399">
        <v>180</v>
      </c>
      <c r="G33" s="399">
        <v>172</v>
      </c>
      <c r="H33" s="399">
        <v>166</v>
      </c>
      <c r="I33" s="399">
        <v>164</v>
      </c>
      <c r="J33" s="399">
        <v>118</v>
      </c>
      <c r="K33" s="399">
        <v>115</v>
      </c>
      <c r="L33" s="399">
        <v>117</v>
      </c>
      <c r="M33" s="399">
        <v>136</v>
      </c>
      <c r="N33" s="399">
        <v>165</v>
      </c>
      <c r="O33" s="399">
        <v>170</v>
      </c>
      <c r="P33" s="399">
        <v>162</v>
      </c>
      <c r="Q33" s="399">
        <v>166</v>
      </c>
      <c r="R33" s="399">
        <v>189</v>
      </c>
      <c r="S33" s="399">
        <v>177</v>
      </c>
      <c r="T33" s="399">
        <v>193</v>
      </c>
      <c r="U33" s="399">
        <v>206</v>
      </c>
      <c r="V33" s="399">
        <v>208</v>
      </c>
      <c r="W33" s="399">
        <v>209</v>
      </c>
      <c r="X33" s="399">
        <v>217</v>
      </c>
      <c r="Y33" s="399">
        <v>249</v>
      </c>
      <c r="Z33" s="399">
        <v>268</v>
      </c>
      <c r="AA33" s="399">
        <v>284</v>
      </c>
      <c r="AB33" s="399">
        <v>314</v>
      </c>
      <c r="AC33" s="399">
        <v>330</v>
      </c>
      <c r="AD33" s="399">
        <v>366</v>
      </c>
      <c r="AE33" s="399">
        <v>416</v>
      </c>
      <c r="AF33" s="399">
        <v>491</v>
      </c>
      <c r="AG33" s="399">
        <v>474</v>
      </c>
      <c r="AH33" s="399">
        <v>508</v>
      </c>
      <c r="AI33" s="399">
        <v>503</v>
      </c>
      <c r="AJ33" s="399">
        <v>542</v>
      </c>
      <c r="AK33" s="399">
        <v>513</v>
      </c>
      <c r="AL33" s="399">
        <v>487</v>
      </c>
      <c r="AM33" s="399">
        <v>443</v>
      </c>
      <c r="AN33" s="399">
        <v>397</v>
      </c>
      <c r="AO33" s="399">
        <v>370</v>
      </c>
      <c r="AP33" s="399">
        <v>340</v>
      </c>
      <c r="AQ33" s="399">
        <v>328</v>
      </c>
      <c r="AR33" s="399">
        <v>0</v>
      </c>
      <c r="AS33" s="399">
        <v>0</v>
      </c>
      <c r="AT33" s="399">
        <v>0</v>
      </c>
      <c r="AU33" s="399">
        <v>0</v>
      </c>
      <c r="AV33" s="399">
        <v>0</v>
      </c>
      <c r="AW33" s="399">
        <v>0</v>
      </c>
      <c r="AX33" s="399">
        <v>0</v>
      </c>
      <c r="AY33" s="399">
        <v>0</v>
      </c>
      <c r="AZ33" s="399">
        <v>0</v>
      </c>
      <c r="BA33" s="399">
        <v>0</v>
      </c>
      <c r="BB33" s="399">
        <v>0</v>
      </c>
      <c r="BC33" s="399">
        <v>0</v>
      </c>
      <c r="BD33" s="399">
        <v>0</v>
      </c>
      <c r="BE33" s="399">
        <v>0</v>
      </c>
      <c r="BF33" s="399">
        <v>0</v>
      </c>
      <c r="BG33" s="399">
        <v>0</v>
      </c>
      <c r="BH33" s="399">
        <v>0</v>
      </c>
      <c r="BI33" s="399">
        <v>0</v>
      </c>
      <c r="BJ33" s="399">
        <v>0</v>
      </c>
      <c r="BK33" s="399">
        <v>0</v>
      </c>
      <c r="BL33" s="399">
        <v>0</v>
      </c>
      <c r="BM33" s="399">
        <v>0</v>
      </c>
      <c r="BN33" s="399">
        <v>0</v>
      </c>
      <c r="BO33" s="399">
        <v>0</v>
      </c>
      <c r="BP33" s="399">
        <v>130</v>
      </c>
      <c r="BQ33" s="399">
        <v>122</v>
      </c>
      <c r="BR33" s="399">
        <v>116</v>
      </c>
      <c r="BS33" s="399">
        <v>158</v>
      </c>
      <c r="BT33" s="399">
        <v>201</v>
      </c>
      <c r="BU33" s="399">
        <v>232</v>
      </c>
      <c r="BV33" s="399">
        <v>238</v>
      </c>
      <c r="BW33" s="399">
        <v>244</v>
      </c>
      <c r="BX33" s="399">
        <v>246</v>
      </c>
      <c r="BY33" s="399">
        <v>268</v>
      </c>
      <c r="BZ33" s="399">
        <v>281</v>
      </c>
      <c r="CA33" s="399">
        <v>282</v>
      </c>
      <c r="CB33" s="399">
        <v>278</v>
      </c>
      <c r="CC33" s="399">
        <v>265</v>
      </c>
      <c r="CD33" s="399">
        <v>256</v>
      </c>
      <c r="CE33" s="399">
        <v>226</v>
      </c>
      <c r="CF33" s="399">
        <v>196</v>
      </c>
      <c r="CG33" s="399">
        <v>168</v>
      </c>
    </row>
    <row r="34" spans="1:85" x14ac:dyDescent="0.25">
      <c r="A34" s="399" t="s">
        <v>1342</v>
      </c>
      <c r="B34" s="399">
        <v>30</v>
      </c>
      <c r="C34" s="399">
        <v>31</v>
      </c>
      <c r="D34" s="399">
        <v>33</v>
      </c>
      <c r="E34" s="399">
        <v>32</v>
      </c>
      <c r="F34" s="399">
        <v>29</v>
      </c>
      <c r="G34" s="399">
        <v>32</v>
      </c>
      <c r="H34" s="399">
        <v>38</v>
      </c>
      <c r="I34" s="399">
        <v>39</v>
      </c>
      <c r="J34" s="399">
        <v>35</v>
      </c>
      <c r="K34" s="399">
        <v>32</v>
      </c>
      <c r="L34" s="399">
        <v>34</v>
      </c>
      <c r="M34" s="399">
        <v>37</v>
      </c>
      <c r="N34" s="399">
        <v>35</v>
      </c>
      <c r="O34" s="399">
        <v>32</v>
      </c>
      <c r="P34" s="399">
        <v>32</v>
      </c>
      <c r="Q34" s="399">
        <v>35</v>
      </c>
      <c r="R34" s="399">
        <v>34</v>
      </c>
      <c r="S34" s="399">
        <v>37</v>
      </c>
      <c r="T34" s="399">
        <v>39</v>
      </c>
      <c r="U34" s="399">
        <v>35</v>
      </c>
      <c r="V34" s="399">
        <v>34</v>
      </c>
      <c r="W34" s="399">
        <v>36</v>
      </c>
      <c r="X34" s="399">
        <v>35</v>
      </c>
      <c r="Y34" s="399">
        <v>38</v>
      </c>
      <c r="Z34" s="399">
        <v>26</v>
      </c>
      <c r="AA34" s="399">
        <v>31</v>
      </c>
      <c r="AB34" s="399">
        <v>33</v>
      </c>
      <c r="AC34" s="399">
        <v>43</v>
      </c>
      <c r="AD34" s="399">
        <v>40</v>
      </c>
      <c r="AE34" s="399">
        <v>39</v>
      </c>
      <c r="AF34" s="399">
        <v>43</v>
      </c>
      <c r="AG34" s="399">
        <v>49</v>
      </c>
      <c r="AH34" s="399">
        <v>49</v>
      </c>
      <c r="AI34" s="399">
        <v>42</v>
      </c>
      <c r="AJ34" s="399">
        <v>44</v>
      </c>
      <c r="AK34" s="399">
        <v>47</v>
      </c>
      <c r="AL34" s="399">
        <v>54</v>
      </c>
      <c r="AM34" s="399">
        <v>62</v>
      </c>
      <c r="AN34" s="399">
        <v>66</v>
      </c>
      <c r="AO34" s="399">
        <v>65</v>
      </c>
      <c r="AP34" s="399">
        <v>66</v>
      </c>
      <c r="AQ34" s="399">
        <v>69</v>
      </c>
      <c r="AR34" s="399">
        <v>0</v>
      </c>
      <c r="AS34" s="399">
        <v>0</v>
      </c>
      <c r="AT34" s="399">
        <v>0</v>
      </c>
      <c r="AU34" s="399">
        <v>0</v>
      </c>
      <c r="AV34" s="399">
        <v>0</v>
      </c>
      <c r="AW34" s="399">
        <v>0</v>
      </c>
      <c r="AX34" s="399">
        <v>0</v>
      </c>
      <c r="AY34" s="399">
        <v>0</v>
      </c>
      <c r="AZ34" s="399">
        <v>0</v>
      </c>
      <c r="BA34" s="399">
        <v>0</v>
      </c>
      <c r="BB34" s="399">
        <v>0</v>
      </c>
      <c r="BC34" s="399">
        <v>0</v>
      </c>
      <c r="BD34" s="399">
        <v>0</v>
      </c>
      <c r="BE34" s="399">
        <v>0</v>
      </c>
      <c r="BF34" s="399">
        <v>0</v>
      </c>
      <c r="BG34" s="399">
        <v>0</v>
      </c>
      <c r="BH34" s="399">
        <v>0</v>
      </c>
      <c r="BI34" s="399">
        <v>0</v>
      </c>
      <c r="BJ34" s="399">
        <v>0</v>
      </c>
      <c r="BK34" s="399">
        <v>0</v>
      </c>
      <c r="BL34" s="399">
        <v>0</v>
      </c>
      <c r="BM34" s="399">
        <v>0</v>
      </c>
      <c r="BN34" s="399">
        <v>0</v>
      </c>
      <c r="BO34" s="399">
        <v>0</v>
      </c>
      <c r="BP34" s="399">
        <v>64</v>
      </c>
      <c r="BQ34" s="399">
        <v>60</v>
      </c>
      <c r="BR34" s="399">
        <v>65</v>
      </c>
      <c r="BS34" s="399">
        <v>59</v>
      </c>
      <c r="BT34" s="399">
        <v>55</v>
      </c>
      <c r="BU34" s="399">
        <v>58</v>
      </c>
      <c r="BV34" s="399">
        <v>62</v>
      </c>
      <c r="BW34" s="399">
        <v>62</v>
      </c>
      <c r="BX34" s="399">
        <v>60</v>
      </c>
      <c r="BY34" s="399">
        <v>69</v>
      </c>
      <c r="BZ34" s="399">
        <v>58</v>
      </c>
      <c r="CA34" s="399">
        <v>61</v>
      </c>
      <c r="CB34" s="399">
        <v>58</v>
      </c>
      <c r="CC34" s="399">
        <v>54</v>
      </c>
      <c r="CD34" s="399">
        <v>51</v>
      </c>
      <c r="CE34" s="399">
        <v>62</v>
      </c>
      <c r="CF34" s="399">
        <v>76</v>
      </c>
      <c r="CG34" s="399">
        <v>85</v>
      </c>
    </row>
    <row r="35" spans="1:85" ht="15.95" customHeight="1" thickBot="1" x14ac:dyDescent="0.3">
      <c r="A35" s="400" t="s">
        <v>1343</v>
      </c>
      <c r="B35" s="400">
        <v>6</v>
      </c>
      <c r="C35" s="400">
        <v>6</v>
      </c>
      <c r="D35" s="400">
        <v>6</v>
      </c>
      <c r="E35" s="400">
        <v>6</v>
      </c>
      <c r="F35" s="400">
        <v>6</v>
      </c>
      <c r="G35" s="400">
        <v>6</v>
      </c>
      <c r="H35" s="400">
        <v>5</v>
      </c>
      <c r="I35" s="400">
        <v>5</v>
      </c>
      <c r="J35" s="400">
        <v>5</v>
      </c>
      <c r="K35" s="400">
        <v>5</v>
      </c>
      <c r="L35" s="400">
        <v>5</v>
      </c>
      <c r="M35" s="400">
        <v>5</v>
      </c>
      <c r="N35" s="400">
        <v>6</v>
      </c>
      <c r="O35" s="400">
        <v>7</v>
      </c>
      <c r="P35" s="400">
        <v>7</v>
      </c>
      <c r="Q35" s="400">
        <v>7</v>
      </c>
      <c r="R35" s="400">
        <v>6</v>
      </c>
      <c r="S35" s="400">
        <v>8</v>
      </c>
      <c r="T35" s="400">
        <v>2</v>
      </c>
      <c r="U35" s="400">
        <v>2</v>
      </c>
      <c r="V35" s="400">
        <v>1</v>
      </c>
      <c r="W35" s="400">
        <v>1</v>
      </c>
      <c r="X35" s="400">
        <v>1</v>
      </c>
      <c r="Y35" s="400">
        <v>2</v>
      </c>
      <c r="Z35" s="400">
        <v>0</v>
      </c>
      <c r="AA35" s="400">
        <v>0</v>
      </c>
      <c r="AB35" s="400">
        <v>0</v>
      </c>
      <c r="AC35" s="400">
        <v>0</v>
      </c>
      <c r="AD35" s="400">
        <v>0</v>
      </c>
      <c r="AE35" s="400">
        <v>0</v>
      </c>
      <c r="AF35" s="400">
        <v>0</v>
      </c>
      <c r="AG35" s="400">
        <v>0</v>
      </c>
      <c r="AH35" s="400">
        <v>0</v>
      </c>
      <c r="AI35" s="400">
        <v>0</v>
      </c>
      <c r="AJ35" s="400">
        <v>0</v>
      </c>
      <c r="AK35" s="400">
        <v>0</v>
      </c>
      <c r="AL35" s="400">
        <v>0</v>
      </c>
      <c r="AM35" s="400">
        <v>0</v>
      </c>
      <c r="AN35" s="400">
        <v>0</v>
      </c>
      <c r="AO35" s="400">
        <v>0</v>
      </c>
      <c r="AP35" s="400">
        <v>0</v>
      </c>
      <c r="AQ35" s="400">
        <v>0</v>
      </c>
      <c r="AR35" s="400">
        <v>0</v>
      </c>
      <c r="AS35" s="400">
        <v>0</v>
      </c>
      <c r="AT35" s="400">
        <v>0</v>
      </c>
      <c r="AU35" s="400">
        <v>0</v>
      </c>
      <c r="AV35" s="400">
        <v>0</v>
      </c>
      <c r="AW35" s="400">
        <v>0</v>
      </c>
      <c r="AX35" s="400">
        <v>0</v>
      </c>
      <c r="AY35" s="400">
        <v>0</v>
      </c>
      <c r="AZ35" s="400">
        <v>0</v>
      </c>
      <c r="BA35" s="400">
        <v>0</v>
      </c>
      <c r="BB35" s="400">
        <v>0</v>
      </c>
      <c r="BC35" s="400">
        <v>0</v>
      </c>
      <c r="BD35" s="400">
        <v>0</v>
      </c>
      <c r="BE35" s="400">
        <v>0</v>
      </c>
      <c r="BF35" s="400">
        <v>0</v>
      </c>
      <c r="BG35" s="400">
        <v>0</v>
      </c>
      <c r="BH35" s="400">
        <v>0</v>
      </c>
      <c r="BI35" s="400">
        <v>0</v>
      </c>
      <c r="BJ35" s="400">
        <v>0</v>
      </c>
      <c r="BK35" s="400">
        <v>0</v>
      </c>
      <c r="BL35" s="400">
        <v>0</v>
      </c>
      <c r="BM35" s="400">
        <v>0</v>
      </c>
      <c r="BN35" s="400">
        <v>0</v>
      </c>
      <c r="BO35" s="400">
        <v>0</v>
      </c>
      <c r="BP35" s="400">
        <v>2</v>
      </c>
      <c r="BQ35" s="400">
        <v>4</v>
      </c>
      <c r="BR35" s="400">
        <v>4</v>
      </c>
      <c r="BS35" s="400">
        <v>5</v>
      </c>
      <c r="BT35" s="400">
        <v>7</v>
      </c>
      <c r="BU35" s="400">
        <v>7</v>
      </c>
      <c r="BV35" s="400">
        <v>8</v>
      </c>
      <c r="BW35" s="400">
        <v>8</v>
      </c>
      <c r="BX35" s="400">
        <v>7</v>
      </c>
      <c r="BY35" s="400">
        <v>6</v>
      </c>
      <c r="BZ35" s="400">
        <v>7</v>
      </c>
      <c r="CA35" s="400">
        <v>7</v>
      </c>
      <c r="CB35" s="400">
        <v>6</v>
      </c>
      <c r="CC35" s="400">
        <v>6</v>
      </c>
      <c r="CD35" s="400">
        <v>7</v>
      </c>
      <c r="CE35" s="400">
        <v>8</v>
      </c>
      <c r="CF35" s="400">
        <v>8</v>
      </c>
      <c r="CG35" s="400">
        <v>9</v>
      </c>
    </row>
    <row r="36" spans="1:85" x14ac:dyDescent="0.25">
      <c r="A36" s="401" t="s">
        <v>1161</v>
      </c>
      <c r="B36" s="401">
        <v>2278</v>
      </c>
      <c r="C36" s="401">
        <v>3055</v>
      </c>
      <c r="D36" s="401">
        <v>3336</v>
      </c>
      <c r="E36" s="401">
        <v>3899</v>
      </c>
      <c r="F36" s="401">
        <v>4751</v>
      </c>
      <c r="G36" s="401">
        <v>4421</v>
      </c>
      <c r="H36" s="401">
        <v>4097</v>
      </c>
      <c r="I36" s="401">
        <v>3460</v>
      </c>
      <c r="J36" s="401">
        <v>2895</v>
      </c>
      <c r="K36" s="401">
        <v>3464</v>
      </c>
      <c r="L36" s="401">
        <v>4011</v>
      </c>
      <c r="M36" s="401">
        <v>4067</v>
      </c>
      <c r="N36" s="401">
        <v>4254</v>
      </c>
      <c r="O36" s="401">
        <v>4114</v>
      </c>
      <c r="P36" s="401">
        <v>3791</v>
      </c>
      <c r="Q36" s="401">
        <v>3784</v>
      </c>
      <c r="R36" s="401">
        <v>3705</v>
      </c>
      <c r="S36" s="401">
        <v>3891</v>
      </c>
      <c r="T36" s="401">
        <v>3506</v>
      </c>
      <c r="U36" s="401">
        <v>2779</v>
      </c>
      <c r="V36" s="401">
        <v>2581</v>
      </c>
      <c r="W36" s="401">
        <v>2090</v>
      </c>
      <c r="X36" s="401">
        <v>1613</v>
      </c>
      <c r="Y36" s="401">
        <v>1349</v>
      </c>
      <c r="Z36" s="401">
        <v>5359</v>
      </c>
      <c r="AA36" s="401">
        <v>5551</v>
      </c>
      <c r="AB36" s="401">
        <v>5774</v>
      </c>
      <c r="AC36" s="401">
        <v>5539</v>
      </c>
      <c r="AD36" s="401">
        <v>5397</v>
      </c>
      <c r="AE36" s="401">
        <v>5183</v>
      </c>
      <c r="AF36" s="401">
        <v>4931</v>
      </c>
      <c r="AG36" s="401">
        <v>4812</v>
      </c>
      <c r="AH36" s="401">
        <v>4652</v>
      </c>
      <c r="AI36" s="401">
        <v>4427</v>
      </c>
      <c r="AJ36" s="401">
        <v>4234</v>
      </c>
      <c r="AK36" s="401">
        <v>4155</v>
      </c>
      <c r="AL36" s="401">
        <v>4282</v>
      </c>
      <c r="AM36" s="401">
        <v>4287</v>
      </c>
      <c r="AN36" s="401">
        <v>4312</v>
      </c>
      <c r="AO36" s="401">
        <v>4147</v>
      </c>
      <c r="AP36" s="401">
        <v>4136</v>
      </c>
      <c r="AQ36" s="401">
        <v>4392</v>
      </c>
      <c r="AR36" s="401">
        <v>0</v>
      </c>
      <c r="AS36" s="401">
        <v>0</v>
      </c>
      <c r="AT36" s="401">
        <v>0</v>
      </c>
      <c r="AU36" s="401">
        <v>0</v>
      </c>
      <c r="AV36" s="401">
        <v>0</v>
      </c>
      <c r="AW36" s="401">
        <v>0</v>
      </c>
      <c r="AX36" s="401">
        <v>0</v>
      </c>
      <c r="AY36" s="401">
        <v>0</v>
      </c>
      <c r="AZ36" s="401">
        <v>0</v>
      </c>
      <c r="BA36" s="401">
        <v>0</v>
      </c>
      <c r="BB36" s="401">
        <v>0</v>
      </c>
      <c r="BC36" s="401">
        <v>0</v>
      </c>
      <c r="BD36" s="401">
        <v>0</v>
      </c>
      <c r="BE36" s="401">
        <v>0</v>
      </c>
      <c r="BF36" s="401">
        <v>0</v>
      </c>
      <c r="BG36" s="401">
        <v>0</v>
      </c>
      <c r="BH36" s="401">
        <v>0</v>
      </c>
      <c r="BI36" s="401">
        <v>0</v>
      </c>
      <c r="BJ36" s="401">
        <v>0</v>
      </c>
      <c r="BK36" s="401">
        <v>0</v>
      </c>
      <c r="BL36" s="401">
        <v>0</v>
      </c>
      <c r="BM36" s="401">
        <v>0</v>
      </c>
      <c r="BN36" s="401">
        <v>0</v>
      </c>
      <c r="BO36" s="401">
        <v>0</v>
      </c>
      <c r="BP36" s="401">
        <v>849</v>
      </c>
      <c r="BQ36" s="401">
        <v>852</v>
      </c>
      <c r="BR36" s="401">
        <v>834</v>
      </c>
      <c r="BS36" s="401">
        <v>818</v>
      </c>
      <c r="BT36" s="401">
        <v>773</v>
      </c>
      <c r="BU36" s="401">
        <v>764</v>
      </c>
      <c r="BV36" s="401">
        <v>749</v>
      </c>
      <c r="BW36" s="401">
        <v>711</v>
      </c>
      <c r="BX36" s="401">
        <v>670</v>
      </c>
      <c r="BY36" s="401">
        <v>646</v>
      </c>
      <c r="BZ36" s="401">
        <v>628</v>
      </c>
      <c r="CA36" s="401">
        <v>610</v>
      </c>
      <c r="CB36" s="401">
        <v>581</v>
      </c>
      <c r="CC36" s="401">
        <v>527</v>
      </c>
      <c r="CD36" s="401">
        <v>503</v>
      </c>
      <c r="CE36" s="401">
        <v>462</v>
      </c>
      <c r="CF36" s="401">
        <v>433</v>
      </c>
      <c r="CG36" s="401">
        <v>407</v>
      </c>
    </row>
    <row r="37" spans="1:85" x14ac:dyDescent="0.25">
      <c r="A37" s="397" t="s">
        <v>1338</v>
      </c>
      <c r="B37" s="398"/>
      <c r="C37" s="398"/>
      <c r="D37" s="398"/>
      <c r="E37" s="398"/>
      <c r="F37" s="398"/>
      <c r="G37" s="398"/>
      <c r="H37" s="398"/>
      <c r="I37" s="398"/>
      <c r="J37" s="398"/>
      <c r="K37" s="398"/>
      <c r="L37" s="398"/>
      <c r="M37" s="398"/>
      <c r="N37" s="398"/>
      <c r="O37" s="398"/>
      <c r="P37" s="398"/>
      <c r="Q37" s="398"/>
      <c r="R37" s="398"/>
      <c r="S37" s="398"/>
      <c r="T37" s="398"/>
      <c r="U37" s="398"/>
      <c r="V37" s="398"/>
      <c r="W37" s="398"/>
      <c r="X37" s="398"/>
      <c r="Y37" s="398"/>
      <c r="Z37" s="398"/>
      <c r="AA37" s="398"/>
      <c r="AB37" s="398"/>
      <c r="AC37" s="398"/>
      <c r="AD37" s="398"/>
      <c r="AE37" s="398"/>
      <c r="AF37" s="398"/>
      <c r="AG37" s="398"/>
      <c r="AH37" s="398"/>
      <c r="AI37" s="398"/>
      <c r="AJ37" s="398"/>
      <c r="AK37" s="398"/>
      <c r="AL37" s="398"/>
      <c r="AM37" s="398"/>
      <c r="AN37" s="398"/>
      <c r="AO37" s="398"/>
      <c r="AP37" s="398"/>
      <c r="AQ37" s="398"/>
      <c r="AR37" s="398"/>
      <c r="AS37" s="398"/>
      <c r="AT37" s="398"/>
      <c r="AU37" s="398"/>
      <c r="AV37" s="398"/>
      <c r="AW37" s="398"/>
      <c r="AX37" s="398"/>
      <c r="AY37" s="398"/>
      <c r="AZ37" s="398"/>
      <c r="BA37" s="398"/>
      <c r="BB37" s="398"/>
      <c r="BC37" s="398"/>
      <c r="BD37" s="398"/>
      <c r="BE37" s="398"/>
      <c r="BF37" s="398"/>
      <c r="BG37" s="398"/>
      <c r="BH37" s="398"/>
      <c r="BI37" s="398"/>
      <c r="BJ37" s="398"/>
      <c r="BK37" s="398"/>
      <c r="BL37" s="398"/>
      <c r="BM37" s="398"/>
      <c r="BN37" s="398"/>
      <c r="BO37" s="398"/>
      <c r="BP37" s="398"/>
      <c r="BQ37" s="398"/>
      <c r="BR37" s="398"/>
      <c r="BS37" s="398"/>
      <c r="BT37" s="398"/>
      <c r="BU37" s="398"/>
      <c r="BV37" s="398"/>
      <c r="BW37" s="398"/>
      <c r="BX37" s="398"/>
      <c r="BY37" s="398"/>
      <c r="BZ37" s="398"/>
      <c r="CA37" s="398"/>
      <c r="CB37" s="398"/>
      <c r="CC37" s="398"/>
      <c r="CD37" s="398"/>
      <c r="CE37" s="398"/>
      <c r="CF37" s="398"/>
      <c r="CG37" s="398"/>
    </row>
    <row r="38" spans="1:85" x14ac:dyDescent="0.25">
      <c r="A38" s="399" t="s">
        <v>1340</v>
      </c>
      <c r="B38" s="399">
        <v>0</v>
      </c>
      <c r="C38" s="399">
        <v>0</v>
      </c>
      <c r="D38" s="399">
        <v>0</v>
      </c>
      <c r="E38" s="399">
        <v>0</v>
      </c>
      <c r="F38" s="399">
        <v>0</v>
      </c>
      <c r="G38" s="399">
        <v>0</v>
      </c>
      <c r="H38" s="399">
        <v>0</v>
      </c>
      <c r="I38" s="399">
        <v>0</v>
      </c>
      <c r="J38" s="399">
        <v>0</v>
      </c>
      <c r="K38" s="399">
        <v>0</v>
      </c>
      <c r="L38" s="399">
        <v>0</v>
      </c>
      <c r="M38" s="399">
        <v>0</v>
      </c>
      <c r="N38" s="399">
        <v>0</v>
      </c>
      <c r="O38" s="399">
        <v>0</v>
      </c>
      <c r="P38" s="399">
        <v>0</v>
      </c>
      <c r="Q38" s="399">
        <v>0</v>
      </c>
      <c r="R38" s="399">
        <v>0</v>
      </c>
      <c r="S38" s="399">
        <v>0</v>
      </c>
      <c r="T38" s="399">
        <v>0</v>
      </c>
      <c r="U38" s="399">
        <v>0</v>
      </c>
      <c r="V38" s="399">
        <v>0</v>
      </c>
      <c r="W38" s="399">
        <v>0</v>
      </c>
      <c r="X38" s="399">
        <v>0</v>
      </c>
      <c r="Y38" s="399">
        <v>0</v>
      </c>
      <c r="Z38" s="399">
        <v>0</v>
      </c>
      <c r="AA38" s="399">
        <v>0</v>
      </c>
      <c r="AB38" s="399">
        <v>0</v>
      </c>
      <c r="AC38" s="399">
        <v>0</v>
      </c>
      <c r="AD38" s="399">
        <v>0</v>
      </c>
      <c r="AE38" s="399">
        <v>0</v>
      </c>
      <c r="AF38" s="399">
        <v>0</v>
      </c>
      <c r="AG38" s="399">
        <v>0</v>
      </c>
      <c r="AH38" s="399">
        <v>0</v>
      </c>
      <c r="AI38" s="399">
        <v>0</v>
      </c>
      <c r="AJ38" s="399">
        <v>0</v>
      </c>
      <c r="AK38" s="399">
        <v>0</v>
      </c>
      <c r="AL38" s="399">
        <v>0</v>
      </c>
      <c r="AM38" s="399">
        <v>0</v>
      </c>
      <c r="AN38" s="399">
        <v>0</v>
      </c>
      <c r="AO38" s="399">
        <v>0</v>
      </c>
      <c r="AP38" s="399">
        <v>0</v>
      </c>
      <c r="AQ38" s="399">
        <v>0</v>
      </c>
      <c r="AR38" s="399">
        <v>0</v>
      </c>
      <c r="AS38" s="399">
        <v>0</v>
      </c>
      <c r="AT38" s="399">
        <v>0</v>
      </c>
      <c r="AU38" s="399">
        <v>0</v>
      </c>
      <c r="AV38" s="399">
        <v>0</v>
      </c>
      <c r="AW38" s="399">
        <v>0</v>
      </c>
      <c r="AX38" s="399">
        <v>0</v>
      </c>
      <c r="AY38" s="399">
        <v>0</v>
      </c>
      <c r="AZ38" s="399">
        <v>0</v>
      </c>
      <c r="BA38" s="399">
        <v>0</v>
      </c>
      <c r="BB38" s="399">
        <v>0</v>
      </c>
      <c r="BC38" s="399">
        <v>0</v>
      </c>
      <c r="BD38" s="399">
        <v>0</v>
      </c>
      <c r="BE38" s="399">
        <v>0</v>
      </c>
      <c r="BF38" s="399">
        <v>0</v>
      </c>
      <c r="BG38" s="399">
        <v>0</v>
      </c>
      <c r="BH38" s="399">
        <v>0</v>
      </c>
      <c r="BI38" s="399">
        <v>0</v>
      </c>
      <c r="BJ38" s="399">
        <v>0</v>
      </c>
      <c r="BK38" s="399">
        <v>0</v>
      </c>
      <c r="BL38" s="399">
        <v>0</v>
      </c>
      <c r="BM38" s="399">
        <v>0</v>
      </c>
      <c r="BN38" s="399">
        <v>0</v>
      </c>
      <c r="BO38" s="399">
        <v>0</v>
      </c>
      <c r="BP38" s="399">
        <v>60</v>
      </c>
      <c r="BQ38" s="399">
        <v>77</v>
      </c>
      <c r="BR38" s="399">
        <v>98</v>
      </c>
      <c r="BS38" s="399">
        <v>113</v>
      </c>
      <c r="BT38" s="399">
        <v>124</v>
      </c>
      <c r="BU38" s="399">
        <v>133</v>
      </c>
      <c r="BV38" s="399">
        <v>144</v>
      </c>
      <c r="BW38" s="399">
        <v>62</v>
      </c>
      <c r="BX38" s="399">
        <v>28</v>
      </c>
      <c r="BY38" s="399">
        <v>14</v>
      </c>
      <c r="BZ38" s="399">
        <v>7</v>
      </c>
      <c r="CA38" s="399">
        <v>3</v>
      </c>
      <c r="CB38" s="399">
        <v>5</v>
      </c>
      <c r="CC38" s="399">
        <v>6</v>
      </c>
      <c r="CD38" s="399">
        <v>18</v>
      </c>
      <c r="CE38" s="399">
        <v>20</v>
      </c>
      <c r="CF38" s="399">
        <v>6</v>
      </c>
      <c r="CG38" s="399">
        <v>4</v>
      </c>
    </row>
    <row r="39" spans="1:85" x14ac:dyDescent="0.25">
      <c r="A39" s="399" t="s">
        <v>1341</v>
      </c>
      <c r="B39" s="399">
        <v>0</v>
      </c>
      <c r="C39" s="399">
        <v>0</v>
      </c>
      <c r="D39" s="399">
        <v>0</v>
      </c>
      <c r="E39" s="399">
        <v>0</v>
      </c>
      <c r="F39" s="399">
        <v>0</v>
      </c>
      <c r="G39" s="399">
        <v>0</v>
      </c>
      <c r="H39" s="399">
        <v>0</v>
      </c>
      <c r="I39" s="399">
        <v>0</v>
      </c>
      <c r="J39" s="399">
        <v>0</v>
      </c>
      <c r="K39" s="399">
        <v>0</v>
      </c>
      <c r="L39" s="399">
        <v>0</v>
      </c>
      <c r="M39" s="399">
        <v>0</v>
      </c>
      <c r="N39" s="399">
        <v>0</v>
      </c>
      <c r="O39" s="399">
        <v>0</v>
      </c>
      <c r="P39" s="399">
        <v>0</v>
      </c>
      <c r="Q39" s="399">
        <v>0</v>
      </c>
      <c r="R39" s="399">
        <v>0</v>
      </c>
      <c r="S39" s="399">
        <v>0</v>
      </c>
      <c r="T39" s="399">
        <v>0</v>
      </c>
      <c r="U39" s="399">
        <v>0</v>
      </c>
      <c r="V39" s="399">
        <v>0</v>
      </c>
      <c r="W39" s="399">
        <v>0</v>
      </c>
      <c r="X39" s="399">
        <v>0</v>
      </c>
      <c r="Y39" s="399">
        <v>0</v>
      </c>
      <c r="Z39" s="399">
        <v>0</v>
      </c>
      <c r="AA39" s="399">
        <v>0</v>
      </c>
      <c r="AB39" s="399">
        <v>0</v>
      </c>
      <c r="AC39" s="399">
        <v>0</v>
      </c>
      <c r="AD39" s="399">
        <v>0</v>
      </c>
      <c r="AE39" s="399">
        <v>0</v>
      </c>
      <c r="AF39" s="399">
        <v>0</v>
      </c>
      <c r="AG39" s="399">
        <v>0</v>
      </c>
      <c r="AH39" s="399">
        <v>0</v>
      </c>
      <c r="AI39" s="399">
        <v>0</v>
      </c>
      <c r="AJ39" s="399">
        <v>0</v>
      </c>
      <c r="AK39" s="399">
        <v>0</v>
      </c>
      <c r="AL39" s="399">
        <v>0</v>
      </c>
      <c r="AM39" s="399">
        <v>0</v>
      </c>
      <c r="AN39" s="399">
        <v>0</v>
      </c>
      <c r="AO39" s="399">
        <v>0</v>
      </c>
      <c r="AP39" s="399">
        <v>0</v>
      </c>
      <c r="AQ39" s="399">
        <v>0</v>
      </c>
      <c r="AR39" s="399">
        <v>0</v>
      </c>
      <c r="AS39" s="399">
        <v>0</v>
      </c>
      <c r="AT39" s="399">
        <v>0</v>
      </c>
      <c r="AU39" s="399">
        <v>0</v>
      </c>
      <c r="AV39" s="399">
        <v>0</v>
      </c>
      <c r="AW39" s="399">
        <v>0</v>
      </c>
      <c r="AX39" s="399">
        <v>0</v>
      </c>
      <c r="AY39" s="399">
        <v>0</v>
      </c>
      <c r="AZ39" s="399">
        <v>0</v>
      </c>
      <c r="BA39" s="399">
        <v>0</v>
      </c>
      <c r="BB39" s="399">
        <v>0</v>
      </c>
      <c r="BC39" s="399">
        <v>0</v>
      </c>
      <c r="BD39" s="399">
        <v>0</v>
      </c>
      <c r="BE39" s="399">
        <v>0</v>
      </c>
      <c r="BF39" s="399">
        <v>0</v>
      </c>
      <c r="BG39" s="399">
        <v>0</v>
      </c>
      <c r="BH39" s="399">
        <v>0</v>
      </c>
      <c r="BI39" s="399">
        <v>0</v>
      </c>
      <c r="BJ39" s="399">
        <v>0</v>
      </c>
      <c r="BK39" s="399">
        <v>0</v>
      </c>
      <c r="BL39" s="399">
        <v>0</v>
      </c>
      <c r="BM39" s="399">
        <v>0</v>
      </c>
      <c r="BN39" s="399">
        <v>0</v>
      </c>
      <c r="BO39" s="399">
        <v>0</v>
      </c>
      <c r="BP39" s="399">
        <v>0</v>
      </c>
      <c r="BQ39" s="399">
        <v>0</v>
      </c>
      <c r="BR39" s="399">
        <v>0</v>
      </c>
      <c r="BS39" s="399">
        <v>0</v>
      </c>
      <c r="BT39" s="399">
        <v>0</v>
      </c>
      <c r="BU39" s="399">
        <v>0</v>
      </c>
      <c r="BV39" s="399">
        <v>0</v>
      </c>
      <c r="BW39" s="399">
        <v>0</v>
      </c>
      <c r="BX39" s="399">
        <v>0</v>
      </c>
      <c r="BY39" s="399">
        <v>0</v>
      </c>
      <c r="BZ39" s="399">
        <v>0</v>
      </c>
      <c r="CA39" s="399">
        <v>0</v>
      </c>
      <c r="CB39" s="399">
        <v>0</v>
      </c>
      <c r="CC39" s="399">
        <v>0</v>
      </c>
      <c r="CD39" s="399">
        <v>0</v>
      </c>
      <c r="CE39" s="399">
        <v>0</v>
      </c>
      <c r="CF39" s="399">
        <v>0</v>
      </c>
      <c r="CG39" s="399">
        <v>0</v>
      </c>
    </row>
    <row r="40" spans="1:85" x14ac:dyDescent="0.25">
      <c r="A40" s="399" t="s">
        <v>1342</v>
      </c>
      <c r="B40" s="399">
        <v>0</v>
      </c>
      <c r="C40" s="399">
        <v>0</v>
      </c>
      <c r="D40" s="399">
        <v>0</v>
      </c>
      <c r="E40" s="399">
        <v>0</v>
      </c>
      <c r="F40" s="399">
        <v>0</v>
      </c>
      <c r="G40" s="399">
        <v>0</v>
      </c>
      <c r="H40" s="399">
        <v>0</v>
      </c>
      <c r="I40" s="399">
        <v>0</v>
      </c>
      <c r="J40" s="399">
        <v>0</v>
      </c>
      <c r="K40" s="399">
        <v>0</v>
      </c>
      <c r="L40" s="399">
        <v>0</v>
      </c>
      <c r="M40" s="399">
        <v>0</v>
      </c>
      <c r="N40" s="399">
        <v>0</v>
      </c>
      <c r="O40" s="399">
        <v>0</v>
      </c>
      <c r="P40" s="399">
        <v>0</v>
      </c>
      <c r="Q40" s="399">
        <v>0</v>
      </c>
      <c r="R40" s="399">
        <v>0</v>
      </c>
      <c r="S40" s="399">
        <v>0</v>
      </c>
      <c r="T40" s="399">
        <v>0</v>
      </c>
      <c r="U40" s="399">
        <v>0</v>
      </c>
      <c r="V40" s="399">
        <v>0</v>
      </c>
      <c r="W40" s="399">
        <v>0</v>
      </c>
      <c r="X40" s="399">
        <v>0</v>
      </c>
      <c r="Y40" s="399">
        <v>0</v>
      </c>
      <c r="Z40" s="399">
        <v>0</v>
      </c>
      <c r="AA40" s="399">
        <v>0</v>
      </c>
      <c r="AB40" s="399">
        <v>0</v>
      </c>
      <c r="AC40" s="399">
        <v>0</v>
      </c>
      <c r="AD40" s="399">
        <v>0</v>
      </c>
      <c r="AE40" s="399">
        <v>0</v>
      </c>
      <c r="AF40" s="399">
        <v>0</v>
      </c>
      <c r="AG40" s="399">
        <v>0</v>
      </c>
      <c r="AH40" s="399">
        <v>0</v>
      </c>
      <c r="AI40" s="399">
        <v>0</v>
      </c>
      <c r="AJ40" s="399">
        <v>0</v>
      </c>
      <c r="AK40" s="399">
        <v>0</v>
      </c>
      <c r="AL40" s="399">
        <v>0</v>
      </c>
      <c r="AM40" s="399">
        <v>0</v>
      </c>
      <c r="AN40" s="399">
        <v>0</v>
      </c>
      <c r="AO40" s="399">
        <v>0</v>
      </c>
      <c r="AP40" s="399">
        <v>0</v>
      </c>
      <c r="AQ40" s="399">
        <v>0</v>
      </c>
      <c r="AR40" s="399">
        <v>0</v>
      </c>
      <c r="AS40" s="399">
        <v>0</v>
      </c>
      <c r="AT40" s="399">
        <v>0</v>
      </c>
      <c r="AU40" s="399">
        <v>0</v>
      </c>
      <c r="AV40" s="399">
        <v>0</v>
      </c>
      <c r="AW40" s="399">
        <v>0</v>
      </c>
      <c r="AX40" s="399">
        <v>0</v>
      </c>
      <c r="AY40" s="399">
        <v>0</v>
      </c>
      <c r="AZ40" s="399">
        <v>0</v>
      </c>
      <c r="BA40" s="399">
        <v>0</v>
      </c>
      <c r="BB40" s="399">
        <v>0</v>
      </c>
      <c r="BC40" s="399">
        <v>0</v>
      </c>
      <c r="BD40" s="399">
        <v>0</v>
      </c>
      <c r="BE40" s="399">
        <v>0</v>
      </c>
      <c r="BF40" s="399">
        <v>0</v>
      </c>
      <c r="BG40" s="399">
        <v>0</v>
      </c>
      <c r="BH40" s="399">
        <v>0</v>
      </c>
      <c r="BI40" s="399">
        <v>0</v>
      </c>
      <c r="BJ40" s="399">
        <v>0</v>
      </c>
      <c r="BK40" s="399">
        <v>0</v>
      </c>
      <c r="BL40" s="399">
        <v>0</v>
      </c>
      <c r="BM40" s="399">
        <v>0</v>
      </c>
      <c r="BN40" s="399">
        <v>0</v>
      </c>
      <c r="BO40" s="399">
        <v>0</v>
      </c>
      <c r="BP40" s="399">
        <v>0</v>
      </c>
      <c r="BQ40" s="399">
        <v>0</v>
      </c>
      <c r="BR40" s="399">
        <v>0</v>
      </c>
      <c r="BS40" s="399">
        <v>0</v>
      </c>
      <c r="BT40" s="399">
        <v>0</v>
      </c>
      <c r="BU40" s="399">
        <v>0</v>
      </c>
      <c r="BV40" s="399">
        <v>0</v>
      </c>
      <c r="BW40" s="399">
        <v>0</v>
      </c>
      <c r="BX40" s="399">
        <v>0</v>
      </c>
      <c r="BY40" s="399">
        <v>0</v>
      </c>
      <c r="BZ40" s="399">
        <v>0</v>
      </c>
      <c r="CA40" s="399">
        <v>0</v>
      </c>
      <c r="CB40" s="399">
        <v>0</v>
      </c>
      <c r="CC40" s="399">
        <v>0</v>
      </c>
      <c r="CD40" s="399">
        <v>0</v>
      </c>
      <c r="CE40" s="399">
        <v>0</v>
      </c>
      <c r="CF40" s="399">
        <v>0</v>
      </c>
      <c r="CG40" s="399">
        <v>0</v>
      </c>
    </row>
    <row r="41" spans="1:85" ht="15.95" customHeight="1" thickBot="1" x14ac:dyDescent="0.3">
      <c r="A41" s="400" t="s">
        <v>1343</v>
      </c>
      <c r="B41" s="400">
        <v>0</v>
      </c>
      <c r="C41" s="400">
        <v>0</v>
      </c>
      <c r="D41" s="400">
        <v>0</v>
      </c>
      <c r="E41" s="400">
        <v>0</v>
      </c>
      <c r="F41" s="400">
        <v>0</v>
      </c>
      <c r="G41" s="400">
        <v>0</v>
      </c>
      <c r="H41" s="400">
        <v>0</v>
      </c>
      <c r="I41" s="400">
        <v>0</v>
      </c>
      <c r="J41" s="400">
        <v>0</v>
      </c>
      <c r="K41" s="400">
        <v>0</v>
      </c>
      <c r="L41" s="400">
        <v>0</v>
      </c>
      <c r="M41" s="400">
        <v>0</v>
      </c>
      <c r="N41" s="400">
        <v>0</v>
      </c>
      <c r="O41" s="400">
        <v>0</v>
      </c>
      <c r="P41" s="400">
        <v>0</v>
      </c>
      <c r="Q41" s="400">
        <v>0</v>
      </c>
      <c r="R41" s="400">
        <v>0</v>
      </c>
      <c r="S41" s="400">
        <v>0</v>
      </c>
      <c r="T41" s="400">
        <v>0</v>
      </c>
      <c r="U41" s="400">
        <v>0</v>
      </c>
      <c r="V41" s="400">
        <v>0</v>
      </c>
      <c r="W41" s="400">
        <v>0</v>
      </c>
      <c r="X41" s="400">
        <v>0</v>
      </c>
      <c r="Y41" s="400">
        <v>0</v>
      </c>
      <c r="Z41" s="400">
        <v>0</v>
      </c>
      <c r="AA41" s="400">
        <v>0</v>
      </c>
      <c r="AB41" s="400">
        <v>0</v>
      </c>
      <c r="AC41" s="400">
        <v>0</v>
      </c>
      <c r="AD41" s="400">
        <v>0</v>
      </c>
      <c r="AE41" s="400">
        <v>0</v>
      </c>
      <c r="AF41" s="400">
        <v>0</v>
      </c>
      <c r="AG41" s="400">
        <v>0</v>
      </c>
      <c r="AH41" s="400">
        <v>0</v>
      </c>
      <c r="AI41" s="400">
        <v>0</v>
      </c>
      <c r="AJ41" s="400">
        <v>0</v>
      </c>
      <c r="AK41" s="400">
        <v>0</v>
      </c>
      <c r="AL41" s="400">
        <v>0</v>
      </c>
      <c r="AM41" s="400">
        <v>0</v>
      </c>
      <c r="AN41" s="400">
        <v>0</v>
      </c>
      <c r="AO41" s="400">
        <v>0</v>
      </c>
      <c r="AP41" s="400">
        <v>0</v>
      </c>
      <c r="AQ41" s="400">
        <v>0</v>
      </c>
      <c r="AR41" s="400">
        <v>0</v>
      </c>
      <c r="AS41" s="400">
        <v>0</v>
      </c>
      <c r="AT41" s="400">
        <v>0</v>
      </c>
      <c r="AU41" s="400">
        <v>0</v>
      </c>
      <c r="AV41" s="400">
        <v>0</v>
      </c>
      <c r="AW41" s="400">
        <v>0</v>
      </c>
      <c r="AX41" s="400">
        <v>0</v>
      </c>
      <c r="AY41" s="400">
        <v>0</v>
      </c>
      <c r="AZ41" s="400">
        <v>0</v>
      </c>
      <c r="BA41" s="400">
        <v>0</v>
      </c>
      <c r="BB41" s="400">
        <v>0</v>
      </c>
      <c r="BC41" s="400">
        <v>0</v>
      </c>
      <c r="BD41" s="400">
        <v>0</v>
      </c>
      <c r="BE41" s="400">
        <v>0</v>
      </c>
      <c r="BF41" s="400">
        <v>0</v>
      </c>
      <c r="BG41" s="400">
        <v>0</v>
      </c>
      <c r="BH41" s="400">
        <v>0</v>
      </c>
      <c r="BI41" s="400">
        <v>0</v>
      </c>
      <c r="BJ41" s="400">
        <v>0</v>
      </c>
      <c r="BK41" s="400">
        <v>0</v>
      </c>
      <c r="BL41" s="400">
        <v>0</v>
      </c>
      <c r="BM41" s="400">
        <v>0</v>
      </c>
      <c r="BN41" s="400">
        <v>0</v>
      </c>
      <c r="BO41" s="400">
        <v>0</v>
      </c>
      <c r="BP41" s="400">
        <v>0</v>
      </c>
      <c r="BQ41" s="400">
        <v>0</v>
      </c>
      <c r="BR41" s="400">
        <v>0</v>
      </c>
      <c r="BS41" s="400">
        <v>0</v>
      </c>
      <c r="BT41" s="400">
        <v>0</v>
      </c>
      <c r="BU41" s="400">
        <v>0</v>
      </c>
      <c r="BV41" s="400">
        <v>0</v>
      </c>
      <c r="BW41" s="400">
        <v>0</v>
      </c>
      <c r="BX41" s="400">
        <v>0</v>
      </c>
      <c r="BY41" s="400">
        <v>0</v>
      </c>
      <c r="BZ41" s="400">
        <v>0</v>
      </c>
      <c r="CA41" s="400">
        <v>0</v>
      </c>
      <c r="CB41" s="400">
        <v>0</v>
      </c>
      <c r="CC41" s="400">
        <v>0</v>
      </c>
      <c r="CD41" s="400">
        <v>0</v>
      </c>
      <c r="CE41" s="400">
        <v>0</v>
      </c>
      <c r="CF41" s="400">
        <v>0</v>
      </c>
      <c r="CG41" s="400">
        <v>0</v>
      </c>
    </row>
    <row r="42" spans="1:85" x14ac:dyDescent="0.25">
      <c r="A42" s="401" t="s">
        <v>1161</v>
      </c>
      <c r="B42" s="401">
        <v>0</v>
      </c>
      <c r="C42" s="401">
        <v>0</v>
      </c>
      <c r="D42" s="401">
        <v>0</v>
      </c>
      <c r="E42" s="401">
        <v>0</v>
      </c>
      <c r="F42" s="401">
        <v>0</v>
      </c>
      <c r="G42" s="401">
        <v>0</v>
      </c>
      <c r="H42" s="401">
        <v>0</v>
      </c>
      <c r="I42" s="401">
        <v>0</v>
      </c>
      <c r="J42" s="401">
        <v>0</v>
      </c>
      <c r="K42" s="401">
        <v>0</v>
      </c>
      <c r="L42" s="401">
        <v>0</v>
      </c>
      <c r="M42" s="401">
        <v>0</v>
      </c>
      <c r="N42" s="401">
        <v>0</v>
      </c>
      <c r="O42" s="401">
        <v>0</v>
      </c>
      <c r="P42" s="401">
        <v>0</v>
      </c>
      <c r="Q42" s="401">
        <v>0</v>
      </c>
      <c r="R42" s="401">
        <v>0</v>
      </c>
      <c r="S42" s="401">
        <v>0</v>
      </c>
      <c r="T42" s="401">
        <v>0</v>
      </c>
      <c r="U42" s="401">
        <v>0</v>
      </c>
      <c r="V42" s="401">
        <v>0</v>
      </c>
      <c r="W42" s="401">
        <v>0</v>
      </c>
      <c r="X42" s="401">
        <v>0</v>
      </c>
      <c r="Y42" s="401">
        <v>0</v>
      </c>
      <c r="Z42" s="401">
        <v>0</v>
      </c>
      <c r="AA42" s="401">
        <v>0</v>
      </c>
      <c r="AB42" s="401">
        <v>0</v>
      </c>
      <c r="AC42" s="401">
        <v>0</v>
      </c>
      <c r="AD42" s="401">
        <v>0</v>
      </c>
      <c r="AE42" s="401">
        <v>0</v>
      </c>
      <c r="AF42" s="401">
        <v>0</v>
      </c>
      <c r="AG42" s="401">
        <v>0</v>
      </c>
      <c r="AH42" s="401">
        <v>0</v>
      </c>
      <c r="AI42" s="401">
        <v>0</v>
      </c>
      <c r="AJ42" s="401">
        <v>0</v>
      </c>
      <c r="AK42" s="401">
        <v>0</v>
      </c>
      <c r="AL42" s="401">
        <v>0</v>
      </c>
      <c r="AM42" s="401">
        <v>0</v>
      </c>
      <c r="AN42" s="401">
        <v>0</v>
      </c>
      <c r="AO42" s="401">
        <v>0</v>
      </c>
      <c r="AP42" s="401">
        <v>0</v>
      </c>
      <c r="AQ42" s="401">
        <v>0</v>
      </c>
      <c r="AR42" s="401">
        <v>0</v>
      </c>
      <c r="AS42" s="401">
        <v>0</v>
      </c>
      <c r="AT42" s="401">
        <v>0</v>
      </c>
      <c r="AU42" s="401">
        <v>0</v>
      </c>
      <c r="AV42" s="401">
        <v>0</v>
      </c>
      <c r="AW42" s="401">
        <v>0</v>
      </c>
      <c r="AX42" s="401">
        <v>0</v>
      </c>
      <c r="AY42" s="401">
        <v>0</v>
      </c>
      <c r="AZ42" s="401">
        <v>0</v>
      </c>
      <c r="BA42" s="401">
        <v>0</v>
      </c>
      <c r="BB42" s="401">
        <v>0</v>
      </c>
      <c r="BC42" s="401">
        <v>0</v>
      </c>
      <c r="BD42" s="401">
        <v>0</v>
      </c>
      <c r="BE42" s="401">
        <v>0</v>
      </c>
      <c r="BF42" s="401">
        <v>0</v>
      </c>
      <c r="BG42" s="401">
        <v>0</v>
      </c>
      <c r="BH42" s="401">
        <v>0</v>
      </c>
      <c r="BI42" s="401">
        <v>0</v>
      </c>
      <c r="BJ42" s="401">
        <v>0</v>
      </c>
      <c r="BK42" s="401">
        <v>0</v>
      </c>
      <c r="BL42" s="401">
        <v>0</v>
      </c>
      <c r="BM42" s="401">
        <v>0</v>
      </c>
      <c r="BN42" s="401">
        <v>0</v>
      </c>
      <c r="BO42" s="401">
        <v>0</v>
      </c>
      <c r="BP42" s="401">
        <v>60</v>
      </c>
      <c r="BQ42" s="401">
        <v>77</v>
      </c>
      <c r="BR42" s="401">
        <v>98</v>
      </c>
      <c r="BS42" s="401">
        <v>113</v>
      </c>
      <c r="BT42" s="401">
        <v>124</v>
      </c>
      <c r="BU42" s="401">
        <v>133</v>
      </c>
      <c r="BV42" s="401">
        <v>144</v>
      </c>
      <c r="BW42" s="401">
        <v>62</v>
      </c>
      <c r="BX42" s="401">
        <v>28</v>
      </c>
      <c r="BY42" s="401">
        <v>14</v>
      </c>
      <c r="BZ42" s="401">
        <v>7</v>
      </c>
      <c r="CA42" s="401">
        <v>3</v>
      </c>
      <c r="CB42" s="401">
        <v>5</v>
      </c>
      <c r="CC42" s="401">
        <v>6</v>
      </c>
      <c r="CD42" s="401">
        <v>18</v>
      </c>
      <c r="CE42" s="401">
        <v>20</v>
      </c>
      <c r="CF42" s="401">
        <v>6</v>
      </c>
      <c r="CG42" s="401">
        <v>4</v>
      </c>
    </row>
    <row r="43" spans="1:85" x14ac:dyDescent="0.25">
      <c r="A43" s="397" t="s">
        <v>1161</v>
      </c>
      <c r="B43" s="398"/>
      <c r="C43" s="398"/>
      <c r="D43" s="398"/>
      <c r="E43" s="398"/>
      <c r="F43" s="398"/>
      <c r="G43" s="398"/>
      <c r="H43" s="398"/>
      <c r="I43" s="398"/>
      <c r="J43" s="398"/>
      <c r="K43" s="398"/>
      <c r="L43" s="398"/>
      <c r="M43" s="398"/>
      <c r="N43" s="398"/>
      <c r="O43" s="398"/>
      <c r="P43" s="398"/>
      <c r="Q43" s="398"/>
      <c r="R43" s="398"/>
      <c r="S43" s="398"/>
      <c r="T43" s="398"/>
      <c r="U43" s="398"/>
      <c r="V43" s="398"/>
      <c r="W43" s="398"/>
      <c r="X43" s="398"/>
      <c r="Y43" s="398"/>
      <c r="Z43" s="398"/>
      <c r="AA43" s="398"/>
      <c r="AB43" s="398"/>
      <c r="AC43" s="398"/>
      <c r="AD43" s="398"/>
      <c r="AE43" s="398"/>
      <c r="AF43" s="398"/>
      <c r="AG43" s="398"/>
      <c r="AH43" s="398"/>
      <c r="AI43" s="398"/>
      <c r="AJ43" s="398"/>
      <c r="AK43" s="398"/>
      <c r="AL43" s="398"/>
      <c r="AM43" s="398"/>
      <c r="AN43" s="398"/>
      <c r="AO43" s="398"/>
      <c r="AP43" s="398"/>
      <c r="AQ43" s="398"/>
      <c r="AR43" s="398"/>
      <c r="AS43" s="398"/>
      <c r="AT43" s="398"/>
      <c r="AU43" s="398"/>
      <c r="AV43" s="398"/>
      <c r="AW43" s="398"/>
      <c r="AX43" s="398"/>
      <c r="AY43" s="398"/>
      <c r="AZ43" s="398"/>
      <c r="BA43" s="398"/>
      <c r="BB43" s="398"/>
      <c r="BC43" s="398"/>
      <c r="BD43" s="398"/>
      <c r="BE43" s="398"/>
      <c r="BF43" s="398"/>
      <c r="BG43" s="398"/>
      <c r="BH43" s="398"/>
      <c r="BI43" s="398"/>
      <c r="BJ43" s="398"/>
      <c r="BK43" s="398"/>
      <c r="BL43" s="398"/>
      <c r="BM43" s="398"/>
      <c r="BN43" s="398"/>
      <c r="BO43" s="398"/>
      <c r="BP43" s="398"/>
      <c r="BQ43" s="398"/>
      <c r="BR43" s="398"/>
      <c r="BS43" s="398"/>
      <c r="BT43" s="398"/>
      <c r="BU43" s="398"/>
      <c r="BV43" s="398"/>
      <c r="BW43" s="398"/>
      <c r="BX43" s="398"/>
      <c r="BY43" s="398"/>
      <c r="BZ43" s="398"/>
      <c r="CA43" s="398"/>
      <c r="CB43" s="398"/>
      <c r="CC43" s="398"/>
      <c r="CD43" s="398"/>
      <c r="CE43" s="398"/>
      <c r="CF43" s="398"/>
      <c r="CG43" s="398"/>
    </row>
    <row r="44" spans="1:85" x14ac:dyDescent="0.25">
      <c r="A44" s="399" t="s">
        <v>1340</v>
      </c>
      <c r="B44" s="399">
        <f t="shared" ref="B44:BM47" si="0">SUM(B20,B26,B32,B38)</f>
        <v>20445</v>
      </c>
      <c r="C44" s="399">
        <f t="shared" si="0"/>
        <v>24887</v>
      </c>
      <c r="D44" s="399">
        <f t="shared" si="0"/>
        <v>26298</v>
      </c>
      <c r="E44" s="399">
        <f t="shared" si="0"/>
        <v>27240</v>
      </c>
      <c r="F44" s="399">
        <f t="shared" si="0"/>
        <v>27862</v>
      </c>
      <c r="G44" s="399">
        <f t="shared" si="0"/>
        <v>26198</v>
      </c>
      <c r="H44" s="399">
        <f t="shared" si="0"/>
        <v>24643</v>
      </c>
      <c r="I44" s="399">
        <f t="shared" si="0"/>
        <v>22163</v>
      </c>
      <c r="J44" s="399">
        <f t="shared" si="0"/>
        <v>23442</v>
      </c>
      <c r="K44" s="399">
        <f t="shared" si="0"/>
        <v>30064</v>
      </c>
      <c r="L44" s="399">
        <f t="shared" si="0"/>
        <v>30255</v>
      </c>
      <c r="M44" s="399">
        <f t="shared" si="0"/>
        <v>30196</v>
      </c>
      <c r="N44" s="399">
        <f t="shared" si="0"/>
        <v>30047</v>
      </c>
      <c r="O44" s="399">
        <f t="shared" si="0"/>
        <v>30130</v>
      </c>
      <c r="P44" s="399">
        <f t="shared" si="0"/>
        <v>31193</v>
      </c>
      <c r="Q44" s="399">
        <f t="shared" si="0"/>
        <v>33574</v>
      </c>
      <c r="R44" s="399">
        <f t="shared" si="0"/>
        <v>34978</v>
      </c>
      <c r="S44" s="399">
        <f t="shared" si="0"/>
        <v>35736</v>
      </c>
      <c r="T44" s="399">
        <f t="shared" si="0"/>
        <v>37718</v>
      </c>
      <c r="U44" s="399">
        <f t="shared" si="0"/>
        <v>39427</v>
      </c>
      <c r="V44" s="399">
        <f t="shared" si="0"/>
        <v>39767</v>
      </c>
      <c r="W44" s="399">
        <f t="shared" si="0"/>
        <v>36933</v>
      </c>
      <c r="X44" s="399">
        <f t="shared" si="0"/>
        <v>36194</v>
      </c>
      <c r="Y44" s="399">
        <f t="shared" si="0"/>
        <v>35881</v>
      </c>
      <c r="Z44" s="399">
        <f t="shared" si="0"/>
        <v>36746</v>
      </c>
      <c r="AA44" s="399">
        <f t="shared" si="0"/>
        <v>37367</v>
      </c>
      <c r="AB44" s="399">
        <f t="shared" si="0"/>
        <v>38315</v>
      </c>
      <c r="AC44" s="399">
        <f t="shared" si="0"/>
        <v>38940</v>
      </c>
      <c r="AD44" s="399">
        <f t="shared" si="0"/>
        <v>37715</v>
      </c>
      <c r="AE44" s="399">
        <f t="shared" si="0"/>
        <v>34263</v>
      </c>
      <c r="AF44" s="399">
        <f t="shared" si="0"/>
        <v>33237</v>
      </c>
      <c r="AG44" s="399">
        <f t="shared" si="0"/>
        <v>34585</v>
      </c>
      <c r="AH44" s="399">
        <f t="shared" si="0"/>
        <v>35453</v>
      </c>
      <c r="AI44" s="399">
        <f t="shared" si="0"/>
        <v>36490</v>
      </c>
      <c r="AJ44" s="399">
        <f t="shared" si="0"/>
        <v>36401</v>
      </c>
      <c r="AK44" s="399">
        <f t="shared" si="0"/>
        <v>35566</v>
      </c>
      <c r="AL44" s="399">
        <f t="shared" si="0"/>
        <v>35574</v>
      </c>
      <c r="AM44" s="399">
        <f t="shared" si="0"/>
        <v>34858</v>
      </c>
      <c r="AN44" s="399">
        <f t="shared" si="0"/>
        <v>34677</v>
      </c>
      <c r="AO44" s="399">
        <f t="shared" si="0"/>
        <v>34778</v>
      </c>
      <c r="AP44" s="399">
        <f t="shared" si="0"/>
        <v>35851</v>
      </c>
      <c r="AQ44" s="399">
        <f t="shared" si="0"/>
        <v>36272</v>
      </c>
      <c r="AR44" s="399">
        <f t="shared" si="0"/>
        <v>0</v>
      </c>
      <c r="AS44" s="399">
        <f t="shared" si="0"/>
        <v>0</v>
      </c>
      <c r="AT44" s="399">
        <f t="shared" si="0"/>
        <v>0</v>
      </c>
      <c r="AU44" s="399">
        <f t="shared" si="0"/>
        <v>0</v>
      </c>
      <c r="AV44" s="399">
        <f t="shared" si="0"/>
        <v>0</v>
      </c>
      <c r="AW44" s="399">
        <f t="shared" si="0"/>
        <v>0</v>
      </c>
      <c r="AX44" s="399">
        <f t="shared" si="0"/>
        <v>0</v>
      </c>
      <c r="AY44" s="399">
        <f t="shared" si="0"/>
        <v>0</v>
      </c>
      <c r="AZ44" s="399">
        <f t="shared" si="0"/>
        <v>0</v>
      </c>
      <c r="BA44" s="399">
        <f t="shared" si="0"/>
        <v>0</v>
      </c>
      <c r="BB44" s="399">
        <f t="shared" si="0"/>
        <v>0</v>
      </c>
      <c r="BC44" s="399">
        <f t="shared" si="0"/>
        <v>0</v>
      </c>
      <c r="BD44" s="399">
        <f t="shared" si="0"/>
        <v>0</v>
      </c>
      <c r="BE44" s="399">
        <f t="shared" si="0"/>
        <v>0</v>
      </c>
      <c r="BF44" s="399">
        <f t="shared" si="0"/>
        <v>0</v>
      </c>
      <c r="BG44" s="399">
        <f t="shared" si="0"/>
        <v>0</v>
      </c>
      <c r="BH44" s="399">
        <f t="shared" si="0"/>
        <v>0</v>
      </c>
      <c r="BI44" s="399">
        <f t="shared" si="0"/>
        <v>0</v>
      </c>
      <c r="BJ44" s="399">
        <f t="shared" si="0"/>
        <v>0</v>
      </c>
      <c r="BK44" s="399">
        <f t="shared" si="0"/>
        <v>0</v>
      </c>
      <c r="BL44" s="399">
        <f t="shared" si="0"/>
        <v>0</v>
      </c>
      <c r="BM44" s="399">
        <f t="shared" si="0"/>
        <v>0</v>
      </c>
      <c r="BN44" s="399">
        <f t="shared" ref="BN44:BO47" si="1">SUM(BN20,BN26,BN32,BN38)</f>
        <v>0</v>
      </c>
      <c r="BO44" s="399">
        <f t="shared" si="1"/>
        <v>0</v>
      </c>
      <c r="BP44" s="399">
        <v>57521</v>
      </c>
      <c r="BQ44" s="399">
        <v>60649</v>
      </c>
      <c r="BR44" s="399">
        <v>60912</v>
      </c>
      <c r="BS44" s="399">
        <v>61023</v>
      </c>
      <c r="BT44" s="399">
        <v>65340</v>
      </c>
      <c r="BU44" s="399">
        <v>63709</v>
      </c>
      <c r="BV44" s="399">
        <v>68495</v>
      </c>
      <c r="BW44" s="399">
        <v>65515</v>
      </c>
      <c r="BX44" s="399">
        <v>62058</v>
      </c>
      <c r="BY44" s="399">
        <v>59831</v>
      </c>
      <c r="BZ44" s="399">
        <v>56558</v>
      </c>
      <c r="CA44" s="399">
        <v>54475</v>
      </c>
      <c r="CB44" s="399">
        <v>53855</v>
      </c>
      <c r="CC44" s="399">
        <v>53102</v>
      </c>
      <c r="CD44" s="399">
        <v>52086</v>
      </c>
      <c r="CE44" s="399">
        <v>49627</v>
      </c>
      <c r="CF44" s="399">
        <v>51573</v>
      </c>
      <c r="CG44" s="399">
        <v>58231</v>
      </c>
    </row>
    <row r="45" spans="1:85" x14ac:dyDescent="0.25">
      <c r="A45" s="399" t="s">
        <v>1341</v>
      </c>
      <c r="B45" s="399">
        <f t="shared" si="0"/>
        <v>954</v>
      </c>
      <c r="C45" s="399">
        <f t="shared" si="0"/>
        <v>926</v>
      </c>
      <c r="D45" s="399">
        <f t="shared" si="0"/>
        <v>948</v>
      </c>
      <c r="E45" s="399">
        <f t="shared" si="0"/>
        <v>949</v>
      </c>
      <c r="F45" s="399">
        <f t="shared" si="0"/>
        <v>962</v>
      </c>
      <c r="G45" s="399">
        <f t="shared" si="0"/>
        <v>966</v>
      </c>
      <c r="H45" s="399">
        <f t="shared" si="0"/>
        <v>957</v>
      </c>
      <c r="I45" s="399">
        <f t="shared" si="0"/>
        <v>984</v>
      </c>
      <c r="J45" s="399">
        <f t="shared" si="0"/>
        <v>940</v>
      </c>
      <c r="K45" s="399">
        <f t="shared" si="0"/>
        <v>894</v>
      </c>
      <c r="L45" s="399">
        <f t="shared" si="0"/>
        <v>870</v>
      </c>
      <c r="M45" s="399">
        <f t="shared" si="0"/>
        <v>893</v>
      </c>
      <c r="N45" s="399">
        <f t="shared" si="0"/>
        <v>960</v>
      </c>
      <c r="O45" s="399">
        <f t="shared" si="0"/>
        <v>973</v>
      </c>
      <c r="P45" s="399">
        <f t="shared" si="0"/>
        <v>966</v>
      </c>
      <c r="Q45" s="399">
        <f t="shared" si="0"/>
        <v>1005</v>
      </c>
      <c r="R45" s="399">
        <f t="shared" si="0"/>
        <v>1076</v>
      </c>
      <c r="S45" s="399">
        <f t="shared" si="0"/>
        <v>1094</v>
      </c>
      <c r="T45" s="399">
        <f t="shared" si="0"/>
        <v>1124</v>
      </c>
      <c r="U45" s="399">
        <f t="shared" si="0"/>
        <v>1164</v>
      </c>
      <c r="V45" s="399">
        <f t="shared" si="0"/>
        <v>1226</v>
      </c>
      <c r="W45" s="399">
        <f t="shared" si="0"/>
        <v>1262</v>
      </c>
      <c r="X45" s="399">
        <f t="shared" si="0"/>
        <v>1315</v>
      </c>
      <c r="Y45" s="399">
        <f t="shared" si="0"/>
        <v>1410</v>
      </c>
      <c r="Z45" s="399">
        <f t="shared" si="0"/>
        <v>1613</v>
      </c>
      <c r="AA45" s="399">
        <f t="shared" si="0"/>
        <v>1638</v>
      </c>
      <c r="AB45" s="399">
        <f t="shared" si="0"/>
        <v>1698</v>
      </c>
      <c r="AC45" s="399">
        <f t="shared" si="0"/>
        <v>1726</v>
      </c>
      <c r="AD45" s="399">
        <f t="shared" si="0"/>
        <v>1906</v>
      </c>
      <c r="AE45" s="399">
        <f t="shared" si="0"/>
        <v>2027</v>
      </c>
      <c r="AF45" s="399">
        <f t="shared" si="0"/>
        <v>2209</v>
      </c>
      <c r="AG45" s="399">
        <f t="shared" si="0"/>
        <v>2237</v>
      </c>
      <c r="AH45" s="399">
        <f t="shared" si="0"/>
        <v>2258</v>
      </c>
      <c r="AI45" s="399">
        <f t="shared" si="0"/>
        <v>2142</v>
      </c>
      <c r="AJ45" s="399">
        <f t="shared" si="0"/>
        <v>2225</v>
      </c>
      <c r="AK45" s="399">
        <f t="shared" si="0"/>
        <v>2225</v>
      </c>
      <c r="AL45" s="399">
        <f t="shared" si="0"/>
        <v>2274</v>
      </c>
      <c r="AM45" s="399">
        <f t="shared" si="0"/>
        <v>2322</v>
      </c>
      <c r="AN45" s="399">
        <f t="shared" si="0"/>
        <v>2309</v>
      </c>
      <c r="AO45" s="399">
        <f t="shared" si="0"/>
        <v>2197</v>
      </c>
      <c r="AP45" s="399">
        <f t="shared" si="0"/>
        <v>2199</v>
      </c>
      <c r="AQ45" s="399">
        <f t="shared" si="0"/>
        <v>2214</v>
      </c>
      <c r="AR45" s="399">
        <f t="shared" si="0"/>
        <v>0</v>
      </c>
      <c r="AS45" s="399">
        <f t="shared" si="0"/>
        <v>0</v>
      </c>
      <c r="AT45" s="399">
        <f t="shared" si="0"/>
        <v>0</v>
      </c>
      <c r="AU45" s="399">
        <f t="shared" si="0"/>
        <v>0</v>
      </c>
      <c r="AV45" s="399">
        <f t="shared" si="0"/>
        <v>0</v>
      </c>
      <c r="AW45" s="399">
        <f t="shared" si="0"/>
        <v>0</v>
      </c>
      <c r="AX45" s="399">
        <f t="shared" si="0"/>
        <v>0</v>
      </c>
      <c r="AY45" s="399">
        <f t="shared" si="0"/>
        <v>0</v>
      </c>
      <c r="AZ45" s="399">
        <f t="shared" si="0"/>
        <v>0</v>
      </c>
      <c r="BA45" s="399">
        <f t="shared" si="0"/>
        <v>0</v>
      </c>
      <c r="BB45" s="399">
        <f t="shared" si="0"/>
        <v>0</v>
      </c>
      <c r="BC45" s="399">
        <f t="shared" si="0"/>
        <v>0</v>
      </c>
      <c r="BD45" s="399">
        <f t="shared" si="0"/>
        <v>0</v>
      </c>
      <c r="BE45" s="399">
        <f t="shared" si="0"/>
        <v>0</v>
      </c>
      <c r="BF45" s="399">
        <f t="shared" si="0"/>
        <v>0</v>
      </c>
      <c r="BG45" s="399">
        <f t="shared" si="0"/>
        <v>0</v>
      </c>
      <c r="BH45" s="399">
        <f t="shared" si="0"/>
        <v>0</v>
      </c>
      <c r="BI45" s="399">
        <f t="shared" si="0"/>
        <v>0</v>
      </c>
      <c r="BJ45" s="399">
        <f t="shared" si="0"/>
        <v>0</v>
      </c>
      <c r="BK45" s="399">
        <f t="shared" si="0"/>
        <v>0</v>
      </c>
      <c r="BL45" s="399">
        <f t="shared" si="0"/>
        <v>0</v>
      </c>
      <c r="BM45" s="399">
        <f t="shared" si="0"/>
        <v>0</v>
      </c>
      <c r="BN45" s="399">
        <f t="shared" si="1"/>
        <v>0</v>
      </c>
      <c r="BO45" s="399">
        <f t="shared" si="1"/>
        <v>0</v>
      </c>
      <c r="BP45" s="399">
        <v>6344</v>
      </c>
      <c r="BQ45" s="399">
        <v>5969</v>
      </c>
      <c r="BR45" s="399">
        <v>5594</v>
      </c>
      <c r="BS45" s="399">
        <v>5450</v>
      </c>
      <c r="BT45" s="399">
        <v>5401</v>
      </c>
      <c r="BU45" s="399">
        <v>5395</v>
      </c>
      <c r="BV45" s="399">
        <v>5253</v>
      </c>
      <c r="BW45" s="399">
        <v>4855</v>
      </c>
      <c r="BX45" s="399">
        <v>4827</v>
      </c>
      <c r="BY45" s="399">
        <v>4928</v>
      </c>
      <c r="BZ45" s="399">
        <v>5221</v>
      </c>
      <c r="CA45" s="399">
        <v>5518</v>
      </c>
      <c r="CB45" s="399">
        <v>5607</v>
      </c>
      <c r="CC45" s="399">
        <v>5675</v>
      </c>
      <c r="CD45" s="399">
        <v>5940</v>
      </c>
      <c r="CE45" s="399">
        <v>6122</v>
      </c>
      <c r="CF45" s="399">
        <v>6289</v>
      </c>
      <c r="CG45" s="399">
        <v>6151</v>
      </c>
    </row>
    <row r="46" spans="1:85" x14ac:dyDescent="0.25">
      <c r="A46" s="399" t="s">
        <v>1342</v>
      </c>
      <c r="B46" s="399">
        <f t="shared" si="0"/>
        <v>257</v>
      </c>
      <c r="C46" s="399">
        <f t="shared" si="0"/>
        <v>250</v>
      </c>
      <c r="D46" s="399">
        <f t="shared" si="0"/>
        <v>250</v>
      </c>
      <c r="E46" s="399">
        <f t="shared" si="0"/>
        <v>239</v>
      </c>
      <c r="F46" s="399">
        <f t="shared" si="0"/>
        <v>227</v>
      </c>
      <c r="G46" s="399">
        <f t="shared" si="0"/>
        <v>221</v>
      </c>
      <c r="H46" s="399">
        <f t="shared" si="0"/>
        <v>238</v>
      </c>
      <c r="I46" s="399">
        <f t="shared" si="0"/>
        <v>243</v>
      </c>
      <c r="J46" s="399">
        <f t="shared" si="0"/>
        <v>248</v>
      </c>
      <c r="K46" s="399">
        <f t="shared" si="0"/>
        <v>234</v>
      </c>
      <c r="L46" s="399">
        <f t="shared" si="0"/>
        <v>236</v>
      </c>
      <c r="M46" s="399">
        <f t="shared" si="0"/>
        <v>246</v>
      </c>
      <c r="N46" s="399">
        <f t="shared" si="0"/>
        <v>242</v>
      </c>
      <c r="O46" s="399">
        <f t="shared" si="0"/>
        <v>232</v>
      </c>
      <c r="P46" s="399">
        <f t="shared" si="0"/>
        <v>223</v>
      </c>
      <c r="Q46" s="399">
        <f t="shared" si="0"/>
        <v>220</v>
      </c>
      <c r="R46" s="399">
        <f t="shared" si="0"/>
        <v>235</v>
      </c>
      <c r="S46" s="399">
        <f t="shared" si="0"/>
        <v>238</v>
      </c>
      <c r="T46" s="399">
        <f t="shared" si="0"/>
        <v>256</v>
      </c>
      <c r="U46" s="399">
        <f t="shared" si="0"/>
        <v>265</v>
      </c>
      <c r="V46" s="399">
        <f t="shared" si="0"/>
        <v>278</v>
      </c>
      <c r="W46" s="399">
        <f t="shared" si="0"/>
        <v>274</v>
      </c>
      <c r="X46" s="399">
        <f t="shared" si="0"/>
        <v>264</v>
      </c>
      <c r="Y46" s="399">
        <f t="shared" si="0"/>
        <v>264</v>
      </c>
      <c r="Z46" s="399">
        <f t="shared" si="0"/>
        <v>282</v>
      </c>
      <c r="AA46" s="399">
        <f t="shared" si="0"/>
        <v>293</v>
      </c>
      <c r="AB46" s="399">
        <f t="shared" si="0"/>
        <v>305</v>
      </c>
      <c r="AC46" s="399">
        <f t="shared" si="0"/>
        <v>321</v>
      </c>
      <c r="AD46" s="399">
        <f t="shared" si="0"/>
        <v>327</v>
      </c>
      <c r="AE46" s="399">
        <f t="shared" si="0"/>
        <v>357</v>
      </c>
      <c r="AF46" s="399">
        <f t="shared" si="0"/>
        <v>370</v>
      </c>
      <c r="AG46" s="399">
        <f t="shared" si="0"/>
        <v>371</v>
      </c>
      <c r="AH46" s="399">
        <f t="shared" si="0"/>
        <v>388</v>
      </c>
      <c r="AI46" s="399">
        <f t="shared" si="0"/>
        <v>396</v>
      </c>
      <c r="AJ46" s="399">
        <f t="shared" si="0"/>
        <v>418</v>
      </c>
      <c r="AK46" s="399">
        <f t="shared" si="0"/>
        <v>424</v>
      </c>
      <c r="AL46" s="399">
        <f t="shared" si="0"/>
        <v>463</v>
      </c>
      <c r="AM46" s="399">
        <f t="shared" si="0"/>
        <v>462</v>
      </c>
      <c r="AN46" s="399">
        <f t="shared" si="0"/>
        <v>477</v>
      </c>
      <c r="AO46" s="399">
        <f t="shared" si="0"/>
        <v>469</v>
      </c>
      <c r="AP46" s="399">
        <f t="shared" si="0"/>
        <v>485</v>
      </c>
      <c r="AQ46" s="399">
        <f t="shared" si="0"/>
        <v>502</v>
      </c>
      <c r="AR46" s="399">
        <f t="shared" si="0"/>
        <v>0</v>
      </c>
      <c r="AS46" s="399">
        <f t="shared" si="0"/>
        <v>0</v>
      </c>
      <c r="AT46" s="399">
        <f t="shared" si="0"/>
        <v>0</v>
      </c>
      <c r="AU46" s="399">
        <f t="shared" si="0"/>
        <v>0</v>
      </c>
      <c r="AV46" s="399">
        <f t="shared" si="0"/>
        <v>0</v>
      </c>
      <c r="AW46" s="399">
        <f t="shared" si="0"/>
        <v>0</v>
      </c>
      <c r="AX46" s="399">
        <f t="shared" si="0"/>
        <v>0</v>
      </c>
      <c r="AY46" s="399">
        <f t="shared" si="0"/>
        <v>0</v>
      </c>
      <c r="AZ46" s="399">
        <f t="shared" si="0"/>
        <v>0</v>
      </c>
      <c r="BA46" s="399">
        <f t="shared" si="0"/>
        <v>0</v>
      </c>
      <c r="BB46" s="399">
        <f t="shared" si="0"/>
        <v>0</v>
      </c>
      <c r="BC46" s="399">
        <f t="shared" si="0"/>
        <v>0</v>
      </c>
      <c r="BD46" s="399">
        <f t="shared" si="0"/>
        <v>0</v>
      </c>
      <c r="BE46" s="399">
        <f t="shared" si="0"/>
        <v>0</v>
      </c>
      <c r="BF46" s="399">
        <f t="shared" si="0"/>
        <v>0</v>
      </c>
      <c r="BG46" s="399">
        <f t="shared" si="0"/>
        <v>0</v>
      </c>
      <c r="BH46" s="399">
        <f t="shared" si="0"/>
        <v>0</v>
      </c>
      <c r="BI46" s="399">
        <f t="shared" si="0"/>
        <v>0</v>
      </c>
      <c r="BJ46" s="399">
        <f t="shared" si="0"/>
        <v>0</v>
      </c>
      <c r="BK46" s="399">
        <f t="shared" si="0"/>
        <v>0</v>
      </c>
      <c r="BL46" s="399">
        <f t="shared" si="0"/>
        <v>0</v>
      </c>
      <c r="BM46" s="399">
        <f t="shared" si="0"/>
        <v>0</v>
      </c>
      <c r="BN46" s="399">
        <f t="shared" si="1"/>
        <v>0</v>
      </c>
      <c r="BO46" s="399">
        <f t="shared" si="1"/>
        <v>0</v>
      </c>
      <c r="BP46" s="399">
        <v>980</v>
      </c>
      <c r="BQ46" s="399">
        <v>1001</v>
      </c>
      <c r="BR46" s="399">
        <v>1080</v>
      </c>
      <c r="BS46" s="399">
        <v>1145</v>
      </c>
      <c r="BT46" s="399">
        <v>1286</v>
      </c>
      <c r="BU46" s="399">
        <v>1604</v>
      </c>
      <c r="BV46" s="399">
        <v>1913</v>
      </c>
      <c r="BW46" s="399">
        <v>2081</v>
      </c>
      <c r="BX46" s="399">
        <v>2205</v>
      </c>
      <c r="BY46" s="399">
        <v>2178</v>
      </c>
      <c r="BZ46" s="399">
        <v>2139</v>
      </c>
      <c r="CA46" s="399">
        <v>2149</v>
      </c>
      <c r="CB46" s="399">
        <v>2128</v>
      </c>
      <c r="CC46" s="399">
        <v>2029</v>
      </c>
      <c r="CD46" s="399">
        <v>1993</v>
      </c>
      <c r="CE46" s="399">
        <v>1983</v>
      </c>
      <c r="CF46" s="399">
        <v>2068</v>
      </c>
      <c r="CG46" s="399">
        <v>2030</v>
      </c>
    </row>
    <row r="47" spans="1:85" ht="15.95" customHeight="1" thickBot="1" x14ac:dyDescent="0.3">
      <c r="A47" s="400" t="s">
        <v>1343</v>
      </c>
      <c r="B47" s="399">
        <f t="shared" si="0"/>
        <v>79</v>
      </c>
      <c r="C47" s="399">
        <f t="shared" si="0"/>
        <v>81</v>
      </c>
      <c r="D47" s="399">
        <f t="shared" si="0"/>
        <v>75</v>
      </c>
      <c r="E47" s="399">
        <f t="shared" si="0"/>
        <v>73</v>
      </c>
      <c r="F47" s="399">
        <f t="shared" si="0"/>
        <v>68</v>
      </c>
      <c r="G47" s="399">
        <f t="shared" si="0"/>
        <v>66</v>
      </c>
      <c r="H47" s="399">
        <f t="shared" si="0"/>
        <v>62</v>
      </c>
      <c r="I47" s="399">
        <f t="shared" si="0"/>
        <v>61</v>
      </c>
      <c r="J47" s="399">
        <f t="shared" si="0"/>
        <v>62</v>
      </c>
      <c r="K47" s="399">
        <f t="shared" si="0"/>
        <v>59</v>
      </c>
      <c r="L47" s="399">
        <f t="shared" si="0"/>
        <v>61</v>
      </c>
      <c r="M47" s="399">
        <f t="shared" si="0"/>
        <v>56</v>
      </c>
      <c r="N47" s="399">
        <f t="shared" si="0"/>
        <v>60</v>
      </c>
      <c r="O47" s="399">
        <f t="shared" si="0"/>
        <v>62</v>
      </c>
      <c r="P47" s="399">
        <f t="shared" si="0"/>
        <v>62</v>
      </c>
      <c r="Q47" s="399">
        <f t="shared" si="0"/>
        <v>58</v>
      </c>
      <c r="R47" s="399">
        <f t="shared" si="0"/>
        <v>58</v>
      </c>
      <c r="S47" s="399">
        <f t="shared" si="0"/>
        <v>61</v>
      </c>
      <c r="T47" s="399">
        <f t="shared" si="0"/>
        <v>65</v>
      </c>
      <c r="U47" s="399">
        <f t="shared" si="0"/>
        <v>61</v>
      </c>
      <c r="V47" s="399">
        <f t="shared" si="0"/>
        <v>56</v>
      </c>
      <c r="W47" s="399">
        <f t="shared" si="0"/>
        <v>56</v>
      </c>
      <c r="X47" s="399">
        <f t="shared" si="0"/>
        <v>54</v>
      </c>
      <c r="Y47" s="399">
        <f t="shared" si="0"/>
        <v>55</v>
      </c>
      <c r="Z47" s="399">
        <f t="shared" si="0"/>
        <v>61</v>
      </c>
      <c r="AA47" s="399">
        <f t="shared" si="0"/>
        <v>57</v>
      </c>
      <c r="AB47" s="399">
        <f t="shared" si="0"/>
        <v>56</v>
      </c>
      <c r="AC47" s="399">
        <f t="shared" si="0"/>
        <v>56</v>
      </c>
      <c r="AD47" s="399">
        <f t="shared" si="0"/>
        <v>56</v>
      </c>
      <c r="AE47" s="399">
        <f t="shared" si="0"/>
        <v>55</v>
      </c>
      <c r="AF47" s="399">
        <f t="shared" si="0"/>
        <v>56</v>
      </c>
      <c r="AG47" s="399">
        <f t="shared" si="0"/>
        <v>55</v>
      </c>
      <c r="AH47" s="399">
        <f t="shared" si="0"/>
        <v>58</v>
      </c>
      <c r="AI47" s="399">
        <f t="shared" si="0"/>
        <v>57</v>
      </c>
      <c r="AJ47" s="399">
        <f t="shared" si="0"/>
        <v>58</v>
      </c>
      <c r="AK47" s="399">
        <f t="shared" si="0"/>
        <v>57</v>
      </c>
      <c r="AL47" s="399">
        <f t="shared" si="0"/>
        <v>56</v>
      </c>
      <c r="AM47" s="399">
        <f t="shared" si="0"/>
        <v>57</v>
      </c>
      <c r="AN47" s="399">
        <f t="shared" si="0"/>
        <v>56</v>
      </c>
      <c r="AO47" s="399">
        <f t="shared" si="0"/>
        <v>60</v>
      </c>
      <c r="AP47" s="399">
        <f t="shared" si="0"/>
        <v>62</v>
      </c>
      <c r="AQ47" s="399">
        <f t="shared" si="0"/>
        <v>59</v>
      </c>
      <c r="AR47" s="399">
        <f t="shared" si="0"/>
        <v>0</v>
      </c>
      <c r="AS47" s="399">
        <f t="shared" si="0"/>
        <v>0</v>
      </c>
      <c r="AT47" s="399">
        <f t="shared" si="0"/>
        <v>0</v>
      </c>
      <c r="AU47" s="399">
        <f t="shared" si="0"/>
        <v>0</v>
      </c>
      <c r="AV47" s="399">
        <f t="shared" si="0"/>
        <v>0</v>
      </c>
      <c r="AW47" s="399">
        <f t="shared" si="0"/>
        <v>0</v>
      </c>
      <c r="AX47" s="399">
        <f t="shared" si="0"/>
        <v>0</v>
      </c>
      <c r="AY47" s="399">
        <f t="shared" si="0"/>
        <v>0</v>
      </c>
      <c r="AZ47" s="399">
        <f t="shared" si="0"/>
        <v>0</v>
      </c>
      <c r="BA47" s="399">
        <f t="shared" si="0"/>
        <v>0</v>
      </c>
      <c r="BB47" s="399">
        <f t="shared" si="0"/>
        <v>0</v>
      </c>
      <c r="BC47" s="399">
        <f t="shared" si="0"/>
        <v>0</v>
      </c>
      <c r="BD47" s="399">
        <f t="shared" si="0"/>
        <v>0</v>
      </c>
      <c r="BE47" s="399">
        <f t="shared" si="0"/>
        <v>0</v>
      </c>
      <c r="BF47" s="399">
        <f t="shared" si="0"/>
        <v>0</v>
      </c>
      <c r="BG47" s="399">
        <f t="shared" si="0"/>
        <v>0</v>
      </c>
      <c r="BH47" s="399">
        <f t="shared" si="0"/>
        <v>0</v>
      </c>
      <c r="BI47" s="399">
        <f t="shared" si="0"/>
        <v>0</v>
      </c>
      <c r="BJ47" s="399">
        <f t="shared" si="0"/>
        <v>0</v>
      </c>
      <c r="BK47" s="399">
        <f t="shared" si="0"/>
        <v>0</v>
      </c>
      <c r="BL47" s="399">
        <f t="shared" si="0"/>
        <v>0</v>
      </c>
      <c r="BM47" s="399">
        <f t="shared" ref="BM47:CR47" si="2">SUM(BM23,BM29,BM35,BM41)</f>
        <v>0</v>
      </c>
      <c r="BN47" s="399">
        <f t="shared" si="1"/>
        <v>0</v>
      </c>
      <c r="BO47" s="399">
        <f t="shared" si="1"/>
        <v>0</v>
      </c>
      <c r="BP47" s="399">
        <v>88</v>
      </c>
      <c r="BQ47" s="399">
        <v>93</v>
      </c>
      <c r="BR47" s="399">
        <v>99</v>
      </c>
      <c r="BS47" s="399">
        <v>98</v>
      </c>
      <c r="BT47" s="399">
        <v>105</v>
      </c>
      <c r="BU47" s="399">
        <v>98</v>
      </c>
      <c r="BV47" s="399">
        <v>94</v>
      </c>
      <c r="BW47" s="399">
        <v>85</v>
      </c>
      <c r="BX47" s="399">
        <v>85</v>
      </c>
      <c r="BY47" s="399">
        <v>79</v>
      </c>
      <c r="BZ47" s="399">
        <v>80</v>
      </c>
      <c r="CA47" s="399">
        <v>83</v>
      </c>
      <c r="CB47" s="399">
        <v>81</v>
      </c>
      <c r="CC47" s="399">
        <v>76</v>
      </c>
      <c r="CD47" s="399">
        <v>80</v>
      </c>
      <c r="CE47" s="399">
        <v>77</v>
      </c>
      <c r="CF47" s="399">
        <v>81</v>
      </c>
      <c r="CG47" s="399">
        <v>82</v>
      </c>
    </row>
    <row r="48" spans="1:85" x14ac:dyDescent="0.25">
      <c r="A48" s="401" t="s">
        <v>1161</v>
      </c>
      <c r="B48" s="401">
        <f t="shared" ref="B48:BM48" si="3">SUM(B44:B47)</f>
        <v>21735</v>
      </c>
      <c r="C48" s="401">
        <f t="shared" si="3"/>
        <v>26144</v>
      </c>
      <c r="D48" s="401">
        <f t="shared" si="3"/>
        <v>27571</v>
      </c>
      <c r="E48" s="401">
        <f t="shared" si="3"/>
        <v>28501</v>
      </c>
      <c r="F48" s="401">
        <f t="shared" si="3"/>
        <v>29119</v>
      </c>
      <c r="G48" s="401">
        <f t="shared" si="3"/>
        <v>27451</v>
      </c>
      <c r="H48" s="401">
        <f t="shared" si="3"/>
        <v>25900</v>
      </c>
      <c r="I48" s="401">
        <f t="shared" si="3"/>
        <v>23451</v>
      </c>
      <c r="J48" s="401">
        <f t="shared" si="3"/>
        <v>24692</v>
      </c>
      <c r="K48" s="401">
        <f t="shared" si="3"/>
        <v>31251</v>
      </c>
      <c r="L48" s="401">
        <f t="shared" si="3"/>
        <v>31422</v>
      </c>
      <c r="M48" s="401">
        <f t="shared" si="3"/>
        <v>31391</v>
      </c>
      <c r="N48" s="401">
        <f t="shared" si="3"/>
        <v>31309</v>
      </c>
      <c r="O48" s="401">
        <f t="shared" si="3"/>
        <v>31397</v>
      </c>
      <c r="P48" s="401">
        <f t="shared" si="3"/>
        <v>32444</v>
      </c>
      <c r="Q48" s="401">
        <f t="shared" si="3"/>
        <v>34857</v>
      </c>
      <c r="R48" s="401">
        <f t="shared" si="3"/>
        <v>36347</v>
      </c>
      <c r="S48" s="401">
        <f t="shared" si="3"/>
        <v>37129</v>
      </c>
      <c r="T48" s="401">
        <f t="shared" si="3"/>
        <v>39163</v>
      </c>
      <c r="U48" s="401">
        <f t="shared" si="3"/>
        <v>40917</v>
      </c>
      <c r="V48" s="401">
        <f t="shared" si="3"/>
        <v>41327</v>
      </c>
      <c r="W48" s="401">
        <f t="shared" si="3"/>
        <v>38525</v>
      </c>
      <c r="X48" s="401">
        <f t="shared" si="3"/>
        <v>37827</v>
      </c>
      <c r="Y48" s="401">
        <f t="shared" si="3"/>
        <v>37610</v>
      </c>
      <c r="Z48" s="401">
        <f t="shared" si="3"/>
        <v>38702</v>
      </c>
      <c r="AA48" s="401">
        <f t="shared" si="3"/>
        <v>39355</v>
      </c>
      <c r="AB48" s="401">
        <f t="shared" si="3"/>
        <v>40374</v>
      </c>
      <c r="AC48" s="401">
        <f t="shared" si="3"/>
        <v>41043</v>
      </c>
      <c r="AD48" s="401">
        <f t="shared" si="3"/>
        <v>40004</v>
      </c>
      <c r="AE48" s="401">
        <f t="shared" si="3"/>
        <v>36702</v>
      </c>
      <c r="AF48" s="401">
        <f t="shared" si="3"/>
        <v>35872</v>
      </c>
      <c r="AG48" s="401">
        <f t="shared" si="3"/>
        <v>37248</v>
      </c>
      <c r="AH48" s="401">
        <f t="shared" si="3"/>
        <v>38157</v>
      </c>
      <c r="AI48" s="401">
        <f t="shared" si="3"/>
        <v>39085</v>
      </c>
      <c r="AJ48" s="401">
        <f t="shared" si="3"/>
        <v>39102</v>
      </c>
      <c r="AK48" s="401">
        <f t="shared" si="3"/>
        <v>38272</v>
      </c>
      <c r="AL48" s="401">
        <f t="shared" si="3"/>
        <v>38367</v>
      </c>
      <c r="AM48" s="401">
        <f t="shared" si="3"/>
        <v>37699</v>
      </c>
      <c r="AN48" s="401">
        <f t="shared" si="3"/>
        <v>37519</v>
      </c>
      <c r="AO48" s="401">
        <f t="shared" si="3"/>
        <v>37504</v>
      </c>
      <c r="AP48" s="401">
        <f t="shared" si="3"/>
        <v>38597</v>
      </c>
      <c r="AQ48" s="401">
        <f t="shared" si="3"/>
        <v>39047</v>
      </c>
      <c r="AR48" s="401">
        <f t="shared" si="3"/>
        <v>0</v>
      </c>
      <c r="AS48" s="401">
        <f t="shared" si="3"/>
        <v>0</v>
      </c>
      <c r="AT48" s="401">
        <f t="shared" si="3"/>
        <v>0</v>
      </c>
      <c r="AU48" s="401">
        <f t="shared" si="3"/>
        <v>0</v>
      </c>
      <c r="AV48" s="401">
        <f t="shared" si="3"/>
        <v>0</v>
      </c>
      <c r="AW48" s="401">
        <f t="shared" si="3"/>
        <v>0</v>
      </c>
      <c r="AX48" s="401">
        <f t="shared" si="3"/>
        <v>0</v>
      </c>
      <c r="AY48" s="401">
        <f t="shared" si="3"/>
        <v>0</v>
      </c>
      <c r="AZ48" s="401">
        <f t="shared" si="3"/>
        <v>0</v>
      </c>
      <c r="BA48" s="401">
        <f t="shared" si="3"/>
        <v>0</v>
      </c>
      <c r="BB48" s="401">
        <f t="shared" si="3"/>
        <v>0</v>
      </c>
      <c r="BC48" s="401">
        <f t="shared" si="3"/>
        <v>0</v>
      </c>
      <c r="BD48" s="401">
        <f t="shared" si="3"/>
        <v>0</v>
      </c>
      <c r="BE48" s="401">
        <f t="shared" si="3"/>
        <v>0</v>
      </c>
      <c r="BF48" s="401">
        <f t="shared" si="3"/>
        <v>0</v>
      </c>
      <c r="BG48" s="401">
        <f t="shared" si="3"/>
        <v>0</v>
      </c>
      <c r="BH48" s="401">
        <f t="shared" si="3"/>
        <v>0</v>
      </c>
      <c r="BI48" s="401">
        <f t="shared" si="3"/>
        <v>0</v>
      </c>
      <c r="BJ48" s="401">
        <f t="shared" si="3"/>
        <v>0</v>
      </c>
      <c r="BK48" s="401">
        <f t="shared" si="3"/>
        <v>0</v>
      </c>
      <c r="BL48" s="401">
        <f t="shared" si="3"/>
        <v>0</v>
      </c>
      <c r="BM48" s="401">
        <f t="shared" si="3"/>
        <v>0</v>
      </c>
      <c r="BN48" s="401">
        <f t="shared" ref="BN48:BO48" si="4">SUM(BN44:BN47)</f>
        <v>0</v>
      </c>
      <c r="BO48" s="401">
        <f t="shared" si="4"/>
        <v>0</v>
      </c>
      <c r="BP48" s="401">
        <v>64933</v>
      </c>
      <c r="BQ48" s="401">
        <v>67712</v>
      </c>
      <c r="BR48" s="401">
        <v>67685</v>
      </c>
      <c r="BS48" s="401">
        <v>67716</v>
      </c>
      <c r="BT48" s="401">
        <v>72132</v>
      </c>
      <c r="BU48" s="401">
        <v>70806</v>
      </c>
      <c r="BV48" s="401">
        <v>75755</v>
      </c>
      <c r="BW48" s="401">
        <v>72536</v>
      </c>
      <c r="BX48" s="401">
        <v>69175</v>
      </c>
      <c r="BY48" s="401">
        <v>67016</v>
      </c>
      <c r="BZ48" s="401">
        <v>63998</v>
      </c>
      <c r="CA48" s="401">
        <v>62225</v>
      </c>
      <c r="CB48" s="401">
        <v>61671</v>
      </c>
      <c r="CC48" s="401">
        <v>60882</v>
      </c>
      <c r="CD48" s="401">
        <v>60099</v>
      </c>
      <c r="CE48" s="401">
        <v>57809</v>
      </c>
      <c r="CF48" s="401">
        <v>60011</v>
      </c>
      <c r="CG48" s="401">
        <v>66494</v>
      </c>
    </row>
  </sheetData>
  <mergeCells count="86">
    <mergeCell ref="BZ17:CA17"/>
    <mergeCell ref="CB17:CC17"/>
    <mergeCell ref="CD17:CE17"/>
    <mergeCell ref="CF17:CG17"/>
    <mergeCell ref="BN17:BO17"/>
    <mergeCell ref="BP17:BQ17"/>
    <mergeCell ref="BR17:BS17"/>
    <mergeCell ref="BT17:BU17"/>
    <mergeCell ref="BV17:BW17"/>
    <mergeCell ref="BX17:BY17"/>
    <mergeCell ref="BB17:BC17"/>
    <mergeCell ref="BD17:BE17"/>
    <mergeCell ref="BF17:BG17"/>
    <mergeCell ref="BH17:BI17"/>
    <mergeCell ref="BJ17:BK17"/>
    <mergeCell ref="BL17:BM17"/>
    <mergeCell ref="AP17:AQ17"/>
    <mergeCell ref="AR17:AS17"/>
    <mergeCell ref="AT17:AU17"/>
    <mergeCell ref="AV17:AW17"/>
    <mergeCell ref="AX17:AY17"/>
    <mergeCell ref="AZ17:BA17"/>
    <mergeCell ref="AD17:AE17"/>
    <mergeCell ref="AF17:AG17"/>
    <mergeCell ref="AH17:AI17"/>
    <mergeCell ref="AJ17:AK17"/>
    <mergeCell ref="AL17:AM17"/>
    <mergeCell ref="AN17:AO17"/>
    <mergeCell ref="R17:S17"/>
    <mergeCell ref="T17:U17"/>
    <mergeCell ref="V17:W17"/>
    <mergeCell ref="X17:Y17"/>
    <mergeCell ref="Z17:AA17"/>
    <mergeCell ref="AB17:AC17"/>
    <mergeCell ref="CF5:CG5"/>
    <mergeCell ref="A16:A18"/>
    <mergeCell ref="B17:C17"/>
    <mergeCell ref="D17:E17"/>
    <mergeCell ref="F17:G17"/>
    <mergeCell ref="H17:I17"/>
    <mergeCell ref="J17:K17"/>
    <mergeCell ref="L17:M17"/>
    <mergeCell ref="N17:O17"/>
    <mergeCell ref="P17:Q17"/>
    <mergeCell ref="BT5:BU5"/>
    <mergeCell ref="BV5:BW5"/>
    <mergeCell ref="BX5:BY5"/>
    <mergeCell ref="BZ5:CA5"/>
    <mergeCell ref="CB5:CC5"/>
    <mergeCell ref="CD5:CE5"/>
    <mergeCell ref="BH5:BI5"/>
    <mergeCell ref="BJ5:BK5"/>
    <mergeCell ref="BL5:BM5"/>
    <mergeCell ref="BN5:BO5"/>
    <mergeCell ref="BP5:BQ5"/>
    <mergeCell ref="BR5:BS5"/>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15A5-F809-45D2-AE14-870D4F314670}">
  <dimension ref="A1:L169"/>
  <sheetViews>
    <sheetView showGridLines="0" zoomScale="80" zoomScaleNormal="80" workbookViewId="0">
      <selection sqref="A1:L1"/>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02" t="s">
        <v>1344</v>
      </c>
      <c r="B1" s="181"/>
      <c r="C1" s="181"/>
      <c r="D1" s="181"/>
      <c r="E1" s="181"/>
      <c r="F1" s="181"/>
      <c r="G1" s="181"/>
      <c r="H1" s="181"/>
      <c r="I1" s="181"/>
      <c r="J1" s="181"/>
      <c r="K1" s="181"/>
      <c r="L1" s="181"/>
    </row>
    <row r="2" spans="1:12" ht="12.6" customHeight="1" x14ac:dyDescent="0.25"/>
    <row r="3" spans="1:12" ht="15.95" customHeight="1" thickBot="1" x14ac:dyDescent="0.3">
      <c r="A3" s="369" t="s">
        <v>1345</v>
      </c>
      <c r="B3" s="33"/>
      <c r="C3" s="33"/>
    </row>
    <row r="4" spans="1:12" ht="15" customHeight="1" x14ac:dyDescent="0.25">
      <c r="A4" s="403" t="s">
        <v>1269</v>
      </c>
      <c r="B4" s="404" t="s">
        <v>1346</v>
      </c>
    </row>
    <row r="5" spans="1:12" ht="15.6" customHeight="1" x14ac:dyDescent="0.25">
      <c r="A5" s="405" t="s">
        <v>1347</v>
      </c>
      <c r="B5" s="406">
        <v>15</v>
      </c>
    </row>
    <row r="6" spans="1:12" ht="15.6" customHeight="1" x14ac:dyDescent="0.25">
      <c r="A6" s="405" t="s">
        <v>1348</v>
      </c>
      <c r="B6" s="406">
        <v>9</v>
      </c>
    </row>
    <row r="7" spans="1:12" ht="15.6" customHeight="1" x14ac:dyDescent="0.25">
      <c r="A7" s="405" t="s">
        <v>1349</v>
      </c>
      <c r="B7" s="406">
        <v>10</v>
      </c>
    </row>
    <row r="8" spans="1:12" ht="15.6" customHeight="1" x14ac:dyDescent="0.25">
      <c r="A8" s="405" t="s">
        <v>1350</v>
      </c>
      <c r="B8" s="406">
        <v>25</v>
      </c>
    </row>
    <row r="9" spans="1:12" ht="15.6" customHeight="1" x14ac:dyDescent="0.25">
      <c r="A9" s="405" t="s">
        <v>1351</v>
      </c>
      <c r="B9" s="406">
        <v>17</v>
      </c>
    </row>
    <row r="10" spans="1:12" ht="15.6" customHeight="1" x14ac:dyDescent="0.25">
      <c r="A10" s="405" t="s">
        <v>1352</v>
      </c>
      <c r="B10" s="406">
        <v>25</v>
      </c>
    </row>
    <row r="11" spans="1:12" ht="15.6" customHeight="1" x14ac:dyDescent="0.25">
      <c r="A11" s="405" t="s">
        <v>1271</v>
      </c>
      <c r="B11" s="406">
        <v>24</v>
      </c>
    </row>
    <row r="12" spans="1:12" ht="15.95" customHeight="1" x14ac:dyDescent="0.25">
      <c r="A12" s="405" t="s">
        <v>1270</v>
      </c>
      <c r="B12" s="407">
        <v>0</v>
      </c>
    </row>
    <row r="13" spans="1:12" ht="16.5" thickBot="1" x14ac:dyDescent="0.3">
      <c r="A13" s="408" t="s">
        <v>1213</v>
      </c>
      <c r="B13" s="409">
        <v>16</v>
      </c>
    </row>
    <row r="14" spans="1:12" ht="15.95" customHeight="1" x14ac:dyDescent="0.25"/>
    <row r="15" spans="1:12" ht="15" customHeight="1" thickBot="1" x14ac:dyDescent="0.3">
      <c r="A15" s="369" t="s">
        <v>1353</v>
      </c>
      <c r="B15" s="33"/>
    </row>
    <row r="16" spans="1:12" ht="15.6" customHeight="1" x14ac:dyDescent="0.25">
      <c r="A16" s="403" t="s">
        <v>1269</v>
      </c>
      <c r="B16" s="404" t="s">
        <v>1354</v>
      </c>
    </row>
    <row r="17" spans="1:2" ht="15.6" customHeight="1" x14ac:dyDescent="0.25">
      <c r="A17" s="405" t="s">
        <v>1347</v>
      </c>
      <c r="B17" s="406">
        <v>22</v>
      </c>
    </row>
    <row r="18" spans="1:2" ht="15.6" customHeight="1" x14ac:dyDescent="0.25">
      <c r="A18" s="405" t="s">
        <v>1348</v>
      </c>
      <c r="B18" s="406">
        <v>21</v>
      </c>
    </row>
    <row r="19" spans="1:2" ht="15.6" customHeight="1" x14ac:dyDescent="0.25">
      <c r="A19" s="405" t="s">
        <v>1349</v>
      </c>
      <c r="B19" s="406">
        <v>19</v>
      </c>
    </row>
    <row r="20" spans="1:2" ht="15.6" customHeight="1" x14ac:dyDescent="0.25">
      <c r="A20" s="405" t="s">
        <v>1350</v>
      </c>
      <c r="B20" s="406">
        <v>19</v>
      </c>
    </row>
    <row r="21" spans="1:2" ht="15.6" customHeight="1" x14ac:dyDescent="0.25">
      <c r="A21" s="405" t="s">
        <v>1351</v>
      </c>
      <c r="B21" s="406">
        <v>19</v>
      </c>
    </row>
    <row r="22" spans="1:2" ht="15.6" customHeight="1" x14ac:dyDescent="0.25">
      <c r="A22" s="405" t="s">
        <v>1352</v>
      </c>
      <c r="B22" s="406">
        <v>20</v>
      </c>
    </row>
    <row r="23" spans="1:2" ht="15.95" customHeight="1" x14ac:dyDescent="0.25">
      <c r="A23" s="405" t="s">
        <v>1271</v>
      </c>
      <c r="B23" s="406">
        <v>22</v>
      </c>
    </row>
    <row r="24" spans="1:2" ht="15.6" customHeight="1" x14ac:dyDescent="0.25">
      <c r="A24" s="405" t="s">
        <v>1270</v>
      </c>
      <c r="B24" s="407">
        <v>0</v>
      </c>
    </row>
    <row r="25" spans="1:2" ht="15.95" customHeight="1" thickBot="1" x14ac:dyDescent="0.3">
      <c r="A25" s="408" t="s">
        <v>1213</v>
      </c>
      <c r="B25" s="409">
        <v>17</v>
      </c>
    </row>
    <row r="26" spans="1:2" ht="15" customHeight="1" x14ac:dyDescent="0.25">
      <c r="B26" s="410"/>
    </row>
    <row r="27" spans="1:2" ht="15.6" customHeight="1" thickBot="1" x14ac:dyDescent="0.3">
      <c r="A27" s="369" t="s">
        <v>1355</v>
      </c>
      <c r="B27" s="33"/>
    </row>
    <row r="28" spans="1:2" ht="15.6" customHeight="1" x14ac:dyDescent="0.25">
      <c r="A28" s="403" t="s">
        <v>1269</v>
      </c>
      <c r="B28" s="404" t="s">
        <v>1244</v>
      </c>
    </row>
    <row r="29" spans="1:2" ht="15.6" customHeight="1" x14ac:dyDescent="0.25">
      <c r="A29" s="405" t="s">
        <v>1347</v>
      </c>
      <c r="B29" s="406">
        <v>12</v>
      </c>
    </row>
    <row r="30" spans="1:2" ht="15.6" customHeight="1" x14ac:dyDescent="0.25">
      <c r="A30" s="405" t="s">
        <v>1348</v>
      </c>
      <c r="B30" s="406">
        <v>3</v>
      </c>
    </row>
    <row r="31" spans="1:2" ht="15.6" customHeight="1" x14ac:dyDescent="0.25">
      <c r="A31" s="405" t="s">
        <v>1349</v>
      </c>
      <c r="B31" s="406">
        <v>9</v>
      </c>
    </row>
    <row r="32" spans="1:2" ht="15.6" customHeight="1" x14ac:dyDescent="0.25">
      <c r="A32" s="405" t="s">
        <v>1350</v>
      </c>
      <c r="B32" s="406">
        <v>11</v>
      </c>
    </row>
    <row r="33" spans="1:2" ht="15.6" customHeight="1" x14ac:dyDescent="0.25">
      <c r="A33" s="405" t="s">
        <v>1351</v>
      </c>
      <c r="B33" s="406">
        <v>8</v>
      </c>
    </row>
    <row r="34" spans="1:2" ht="15.95" customHeight="1" x14ac:dyDescent="0.25">
      <c r="A34" s="405" t="s">
        <v>1352</v>
      </c>
      <c r="B34" s="406">
        <v>14</v>
      </c>
    </row>
    <row r="35" spans="1:2" ht="15.6" customHeight="1" x14ac:dyDescent="0.25">
      <c r="A35" s="405" t="s">
        <v>1271</v>
      </c>
      <c r="B35" s="406">
        <v>11</v>
      </c>
    </row>
    <row r="36" spans="1:2" ht="15.95" customHeight="1" x14ac:dyDescent="0.25">
      <c r="A36" s="405" t="s">
        <v>1270</v>
      </c>
      <c r="B36" s="407">
        <v>0</v>
      </c>
    </row>
    <row r="37" spans="1:2" ht="15" customHeight="1" thickBot="1" x14ac:dyDescent="0.3">
      <c r="A37" s="408" t="s">
        <v>1213</v>
      </c>
      <c r="B37" s="409">
        <v>7</v>
      </c>
    </row>
    <row r="38" spans="1:2" ht="15.6" customHeight="1" x14ac:dyDescent="0.25">
      <c r="B38" s="410"/>
    </row>
    <row r="39" spans="1:2" ht="15.6" customHeight="1" thickBot="1" x14ac:dyDescent="0.3">
      <c r="A39" s="369" t="s">
        <v>1356</v>
      </c>
      <c r="B39" s="33"/>
    </row>
    <row r="40" spans="1:2" ht="15.6" customHeight="1" x14ac:dyDescent="0.25">
      <c r="A40" s="403" t="s">
        <v>1269</v>
      </c>
      <c r="B40" s="404" t="s">
        <v>1346</v>
      </c>
    </row>
    <row r="41" spans="1:2" ht="15.6" customHeight="1" x14ac:dyDescent="0.25">
      <c r="A41" s="405" t="s">
        <v>1347</v>
      </c>
      <c r="B41" s="406">
        <v>30</v>
      </c>
    </row>
    <row r="42" spans="1:2" ht="15.6" customHeight="1" x14ac:dyDescent="0.25">
      <c r="A42" s="405" t="s">
        <v>1348</v>
      </c>
      <c r="B42" s="406">
        <v>12</v>
      </c>
    </row>
    <row r="43" spans="1:2" ht="15.6" customHeight="1" x14ac:dyDescent="0.25">
      <c r="A43" s="405" t="s">
        <v>1349</v>
      </c>
      <c r="B43" s="406">
        <v>11</v>
      </c>
    </row>
    <row r="44" spans="1:2" ht="15.6" customHeight="1" x14ac:dyDescent="0.25">
      <c r="A44" s="405" t="s">
        <v>1350</v>
      </c>
      <c r="B44" s="406">
        <v>6</v>
      </c>
    </row>
    <row r="45" spans="1:2" ht="15.95" customHeight="1" x14ac:dyDescent="0.25">
      <c r="A45" s="405" t="s">
        <v>1357</v>
      </c>
      <c r="B45" s="406">
        <v>1</v>
      </c>
    </row>
    <row r="46" spans="1:2" ht="15.75" x14ac:dyDescent="0.25">
      <c r="A46" s="405" t="s">
        <v>1352</v>
      </c>
      <c r="B46" s="406">
        <v>7</v>
      </c>
    </row>
    <row r="47" spans="1:2" ht="15.95" customHeight="1" x14ac:dyDescent="0.25">
      <c r="A47" s="405" t="s">
        <v>1271</v>
      </c>
      <c r="B47" s="406">
        <v>13</v>
      </c>
    </row>
    <row r="48" spans="1:2" ht="15" customHeight="1" x14ac:dyDescent="0.25">
      <c r="A48" s="405" t="s">
        <v>1270</v>
      </c>
      <c r="B48" s="407">
        <v>0</v>
      </c>
    </row>
    <row r="49" spans="1:2" ht="15.6" customHeight="1" thickBot="1" x14ac:dyDescent="0.3">
      <c r="A49" s="408" t="s">
        <v>1213</v>
      </c>
      <c r="B49" s="409">
        <v>6</v>
      </c>
    </row>
    <row r="50" spans="1:2" ht="15.6" customHeight="1" x14ac:dyDescent="0.25"/>
    <row r="51" spans="1:2" ht="15.6" customHeight="1" thickBot="1" x14ac:dyDescent="0.3">
      <c r="A51" s="369" t="s">
        <v>1358</v>
      </c>
      <c r="B51" s="33"/>
    </row>
    <row r="52" spans="1:2" ht="15.6" customHeight="1" x14ac:dyDescent="0.25">
      <c r="A52" s="403" t="s">
        <v>1269</v>
      </c>
      <c r="B52" s="404" t="s">
        <v>1354</v>
      </c>
    </row>
    <row r="53" spans="1:2" ht="15.6" customHeight="1" x14ac:dyDescent="0.25">
      <c r="A53" s="405" t="s">
        <v>1347</v>
      </c>
      <c r="B53" s="406">
        <v>19</v>
      </c>
    </row>
    <row r="54" spans="1:2" ht="15.6" customHeight="1" x14ac:dyDescent="0.25">
      <c r="A54" s="405" t="s">
        <v>1348</v>
      </c>
      <c r="B54" s="406">
        <v>8</v>
      </c>
    </row>
    <row r="55" spans="1:2" ht="15.6" customHeight="1" x14ac:dyDescent="0.25">
      <c r="A55" s="405" t="s">
        <v>1349</v>
      </c>
      <c r="B55" s="406">
        <v>9</v>
      </c>
    </row>
    <row r="56" spans="1:2" ht="15.95" customHeight="1" x14ac:dyDescent="0.25">
      <c r="A56" s="405" t="s">
        <v>1350</v>
      </c>
      <c r="B56" s="406">
        <v>4</v>
      </c>
    </row>
    <row r="57" spans="1:2" ht="15.6" customHeight="1" x14ac:dyDescent="0.25">
      <c r="A57" s="405" t="s">
        <v>1357</v>
      </c>
      <c r="B57" s="406">
        <v>1</v>
      </c>
    </row>
    <row r="58" spans="1:2" ht="15.95" customHeight="1" x14ac:dyDescent="0.25">
      <c r="A58" s="405" t="s">
        <v>1352</v>
      </c>
      <c r="B58" s="406">
        <v>4</v>
      </c>
    </row>
    <row r="59" spans="1:2" ht="15" customHeight="1" x14ac:dyDescent="0.25">
      <c r="A59" s="405" t="s">
        <v>1271</v>
      </c>
      <c r="B59" s="406">
        <v>7</v>
      </c>
    </row>
    <row r="60" spans="1:2" ht="15.6" customHeight="1" x14ac:dyDescent="0.25">
      <c r="A60" s="405" t="s">
        <v>1270</v>
      </c>
      <c r="B60" s="407">
        <v>0</v>
      </c>
    </row>
    <row r="61" spans="1:2" ht="15.6" customHeight="1" thickBot="1" x14ac:dyDescent="0.3">
      <c r="A61" s="408" t="s">
        <v>1213</v>
      </c>
      <c r="B61" s="409">
        <v>5</v>
      </c>
    </row>
    <row r="62" spans="1:2" ht="15.6" customHeight="1" x14ac:dyDescent="0.25">
      <c r="B62" s="410"/>
    </row>
    <row r="63" spans="1:2" ht="15.6" customHeight="1" thickBot="1" x14ac:dyDescent="0.3">
      <c r="A63" s="369" t="s">
        <v>1359</v>
      </c>
      <c r="B63" s="33"/>
    </row>
    <row r="64" spans="1:2" ht="15.6" customHeight="1" x14ac:dyDescent="0.25">
      <c r="A64" s="403" t="s">
        <v>1269</v>
      </c>
      <c r="B64" s="404" t="s">
        <v>1244</v>
      </c>
    </row>
    <row r="65" spans="1:2" ht="15.6" customHeight="1" x14ac:dyDescent="0.25">
      <c r="A65" s="405" t="s">
        <v>1347</v>
      </c>
      <c r="B65" s="406">
        <v>2</v>
      </c>
    </row>
    <row r="66" spans="1:2" ht="15.6" customHeight="1" x14ac:dyDescent="0.25">
      <c r="A66" s="405" t="s">
        <v>1348</v>
      </c>
      <c r="B66" s="406">
        <v>1</v>
      </c>
    </row>
    <row r="67" spans="1:2" ht="15.95" customHeight="1" x14ac:dyDescent="0.25">
      <c r="A67" s="405" t="s">
        <v>1349</v>
      </c>
      <c r="B67" s="407">
        <v>0</v>
      </c>
    </row>
    <row r="68" spans="1:2" ht="15.6" customHeight="1" x14ac:dyDescent="0.25">
      <c r="A68" s="405" t="s">
        <v>1350</v>
      </c>
      <c r="B68" s="407">
        <v>0</v>
      </c>
    </row>
    <row r="69" spans="1:2" ht="15.95" customHeight="1" x14ac:dyDescent="0.25">
      <c r="A69" s="405" t="s">
        <v>1351</v>
      </c>
      <c r="B69" s="407">
        <v>0</v>
      </c>
    </row>
    <row r="70" spans="1:2" ht="15" customHeight="1" x14ac:dyDescent="0.25">
      <c r="A70" s="405" t="s">
        <v>1352</v>
      </c>
      <c r="B70" s="407">
        <v>0</v>
      </c>
    </row>
    <row r="71" spans="1:2" ht="15.6" customHeight="1" x14ac:dyDescent="0.25">
      <c r="A71" s="405" t="s">
        <v>1271</v>
      </c>
      <c r="B71" s="407">
        <v>0</v>
      </c>
    </row>
    <row r="72" spans="1:2" ht="15.6" customHeight="1" x14ac:dyDescent="0.25">
      <c r="A72" s="405" t="s">
        <v>1270</v>
      </c>
      <c r="B72" s="407">
        <v>0</v>
      </c>
    </row>
    <row r="73" spans="1:2" ht="15.6" customHeight="1" thickBot="1" x14ac:dyDescent="0.3">
      <c r="A73" s="408" t="s">
        <v>1213</v>
      </c>
      <c r="B73" s="409">
        <v>0</v>
      </c>
    </row>
    <row r="74" spans="1:2" ht="15.6" customHeight="1" x14ac:dyDescent="0.25">
      <c r="B74" s="410"/>
    </row>
    <row r="75" spans="1:2" ht="15.6" customHeight="1" thickBot="1" x14ac:dyDescent="0.3">
      <c r="A75" s="369" t="s">
        <v>1360</v>
      </c>
      <c r="B75" s="33"/>
    </row>
    <row r="76" spans="1:2" ht="15.6" customHeight="1" x14ac:dyDescent="0.25">
      <c r="A76" s="403" t="s">
        <v>1269</v>
      </c>
      <c r="B76" s="404" t="s">
        <v>1346</v>
      </c>
    </row>
    <row r="77" spans="1:2" ht="15.6" customHeight="1" x14ac:dyDescent="0.25">
      <c r="A77" s="405" t="s">
        <v>1347</v>
      </c>
      <c r="B77" s="406">
        <v>24545</v>
      </c>
    </row>
    <row r="78" spans="1:2" ht="15.95" customHeight="1" x14ac:dyDescent="0.25">
      <c r="A78" s="405" t="s">
        <v>1348</v>
      </c>
      <c r="B78" s="406">
        <v>22976</v>
      </c>
    </row>
    <row r="79" spans="1:2" ht="15.75" x14ac:dyDescent="0.25">
      <c r="A79" s="405" t="s">
        <v>1349</v>
      </c>
      <c r="B79" s="407">
        <v>16174</v>
      </c>
    </row>
    <row r="80" spans="1:2" ht="15.95" customHeight="1" x14ac:dyDescent="0.25">
      <c r="A80" s="405" t="s">
        <v>1350</v>
      </c>
      <c r="B80" s="407">
        <v>6941</v>
      </c>
    </row>
    <row r="81" spans="1:2" ht="15" customHeight="1" x14ac:dyDescent="0.25">
      <c r="A81" s="405" t="s">
        <v>1351</v>
      </c>
      <c r="B81" s="407">
        <v>5977</v>
      </c>
    </row>
    <row r="82" spans="1:2" ht="15.6" customHeight="1" x14ac:dyDescent="0.25">
      <c r="A82" s="405" t="s">
        <v>1352</v>
      </c>
      <c r="B82" s="407">
        <v>9042</v>
      </c>
    </row>
    <row r="83" spans="1:2" ht="15.6" customHeight="1" x14ac:dyDescent="0.25">
      <c r="A83" s="405" t="s">
        <v>1271</v>
      </c>
      <c r="B83" s="407">
        <v>9739</v>
      </c>
    </row>
    <row r="84" spans="1:2" ht="15.6" customHeight="1" x14ac:dyDescent="0.25">
      <c r="A84" s="405" t="s">
        <v>1270</v>
      </c>
      <c r="B84" s="407">
        <v>0</v>
      </c>
    </row>
    <row r="85" spans="1:2" ht="15.6" customHeight="1" thickBot="1" x14ac:dyDescent="0.3">
      <c r="A85" s="408" t="s">
        <v>1213</v>
      </c>
      <c r="B85" s="409">
        <v>16701</v>
      </c>
    </row>
    <row r="86" spans="1:2" ht="15.6" customHeight="1" x14ac:dyDescent="0.25"/>
    <row r="87" spans="1:2" ht="15.6" customHeight="1" thickBot="1" x14ac:dyDescent="0.3">
      <c r="A87" s="369" t="s">
        <v>1361</v>
      </c>
      <c r="B87" s="33"/>
    </row>
    <row r="88" spans="1:2" ht="15.6" customHeight="1" x14ac:dyDescent="0.25">
      <c r="A88" s="403" t="s">
        <v>1269</v>
      </c>
      <c r="B88" s="404" t="s">
        <v>1354</v>
      </c>
    </row>
    <row r="89" spans="1:2" ht="15.95" customHeight="1" x14ac:dyDescent="0.25">
      <c r="A89" s="405" t="s">
        <v>1347</v>
      </c>
      <c r="B89" s="406">
        <v>25793</v>
      </c>
    </row>
    <row r="90" spans="1:2" ht="15.6" customHeight="1" x14ac:dyDescent="0.25">
      <c r="A90" s="405" t="s">
        <v>1348</v>
      </c>
      <c r="B90" s="406">
        <v>24371</v>
      </c>
    </row>
    <row r="91" spans="1:2" ht="15.95" customHeight="1" x14ac:dyDescent="0.25">
      <c r="A91" s="405" t="s">
        <v>1349</v>
      </c>
      <c r="B91" s="407">
        <v>17657</v>
      </c>
    </row>
    <row r="92" spans="1:2" ht="15" customHeight="1" x14ac:dyDescent="0.25">
      <c r="A92" s="405" t="s">
        <v>1350</v>
      </c>
      <c r="B92" s="407">
        <v>7422</v>
      </c>
    </row>
    <row r="93" spans="1:2" ht="15.6" customHeight="1" x14ac:dyDescent="0.25">
      <c r="A93" s="405" t="s">
        <v>1351</v>
      </c>
      <c r="B93" s="407">
        <v>6468</v>
      </c>
    </row>
    <row r="94" spans="1:2" ht="15.6" customHeight="1" x14ac:dyDescent="0.25">
      <c r="A94" s="405" t="s">
        <v>1352</v>
      </c>
      <c r="B94" s="407">
        <v>9470</v>
      </c>
    </row>
    <row r="95" spans="1:2" ht="15.6" customHeight="1" x14ac:dyDescent="0.25">
      <c r="A95" s="405" t="s">
        <v>1271</v>
      </c>
      <c r="B95" s="407">
        <v>9977</v>
      </c>
    </row>
    <row r="96" spans="1:2" ht="15.6" customHeight="1" x14ac:dyDescent="0.25">
      <c r="A96" s="405" t="s">
        <v>1270</v>
      </c>
      <c r="B96" s="407">
        <v>0</v>
      </c>
    </row>
    <row r="97" spans="1:10" ht="15.6" customHeight="1" thickBot="1" x14ac:dyDescent="0.3">
      <c r="A97" s="408" t="s">
        <v>1213</v>
      </c>
      <c r="B97" s="409">
        <v>17890</v>
      </c>
    </row>
    <row r="98" spans="1:10" ht="15.6" customHeight="1" x14ac:dyDescent="0.25">
      <c r="B98" s="410"/>
    </row>
    <row r="99" spans="1:10" ht="15.6" customHeight="1" thickBot="1" x14ac:dyDescent="0.3">
      <c r="A99" s="369" t="s">
        <v>1362</v>
      </c>
      <c r="B99" s="33"/>
    </row>
    <row r="100" spans="1:10" ht="15.95" customHeight="1" x14ac:dyDescent="0.25">
      <c r="A100" s="403" t="s">
        <v>1269</v>
      </c>
      <c r="B100" s="404" t="s">
        <v>1244</v>
      </c>
    </row>
    <row r="101" spans="1:10" ht="15.6" customHeight="1" x14ac:dyDescent="0.25">
      <c r="A101" s="405" t="s">
        <v>1347</v>
      </c>
      <c r="B101" s="406">
        <v>13632</v>
      </c>
    </row>
    <row r="102" spans="1:10" ht="15.95" customHeight="1" x14ac:dyDescent="0.25">
      <c r="A102" s="405" t="s">
        <v>1348</v>
      </c>
      <c r="B102" s="406">
        <v>13203</v>
      </c>
    </row>
    <row r="103" spans="1:10" ht="15" customHeight="1" x14ac:dyDescent="0.25">
      <c r="A103" s="405" t="s">
        <v>1349</v>
      </c>
      <c r="B103" s="407">
        <v>10998</v>
      </c>
    </row>
    <row r="104" spans="1:10" ht="15.6" customHeight="1" x14ac:dyDescent="0.25">
      <c r="A104" s="405" t="s">
        <v>1350</v>
      </c>
      <c r="B104" s="407">
        <v>64</v>
      </c>
    </row>
    <row r="105" spans="1:10" ht="15.6" customHeight="1" x14ac:dyDescent="0.25">
      <c r="A105" s="405" t="s">
        <v>1351</v>
      </c>
      <c r="B105" s="407">
        <v>4065</v>
      </c>
    </row>
    <row r="106" spans="1:10" ht="15.6" customHeight="1" x14ac:dyDescent="0.25">
      <c r="A106" s="405" t="s">
        <v>1352</v>
      </c>
      <c r="B106" s="407">
        <v>5801</v>
      </c>
    </row>
    <row r="107" spans="1:10" ht="15.6" customHeight="1" x14ac:dyDescent="0.25">
      <c r="A107" s="405" t="s">
        <v>1271</v>
      </c>
      <c r="B107" s="407">
        <v>6458</v>
      </c>
    </row>
    <row r="108" spans="1:10" ht="15.6" customHeight="1" x14ac:dyDescent="0.25">
      <c r="A108" s="405" t="s">
        <v>1270</v>
      </c>
      <c r="B108" s="407">
        <v>0</v>
      </c>
    </row>
    <row r="109" spans="1:10" ht="15.6" customHeight="1" thickBot="1" x14ac:dyDescent="0.3">
      <c r="A109" s="408" t="s">
        <v>1213</v>
      </c>
      <c r="B109" s="409">
        <v>10885</v>
      </c>
    </row>
    <row r="110" spans="1:10" ht="15.6" customHeight="1" x14ac:dyDescent="0.25">
      <c r="B110" s="410"/>
    </row>
    <row r="111" spans="1:10" ht="15.6" customHeight="1" thickBot="1" x14ac:dyDescent="0.3">
      <c r="A111" s="369" t="s">
        <v>1363</v>
      </c>
      <c r="B111" s="33"/>
    </row>
    <row r="112" spans="1:10" ht="15.6" customHeight="1" x14ac:dyDescent="0.25">
      <c r="A112" s="403" t="s">
        <v>1364</v>
      </c>
      <c r="B112" s="411" t="s">
        <v>1347</v>
      </c>
      <c r="C112" s="411" t="s">
        <v>1348</v>
      </c>
      <c r="D112" s="411" t="s">
        <v>1349</v>
      </c>
      <c r="E112" s="411" t="s">
        <v>1350</v>
      </c>
      <c r="F112" s="411" t="s">
        <v>1357</v>
      </c>
      <c r="G112" s="411" t="s">
        <v>1352</v>
      </c>
      <c r="H112" s="411" t="s">
        <v>1271</v>
      </c>
      <c r="I112" s="411" t="s">
        <v>1270</v>
      </c>
      <c r="J112" s="404" t="s">
        <v>1213</v>
      </c>
    </row>
    <row r="113" spans="1:10" ht="15.6" customHeight="1" x14ac:dyDescent="0.25">
      <c r="A113" s="405" t="s">
        <v>1365</v>
      </c>
      <c r="B113" s="412"/>
      <c r="C113" s="412"/>
      <c r="D113" s="412"/>
      <c r="E113" s="412"/>
      <c r="F113" s="413">
        <v>23</v>
      </c>
      <c r="G113" s="413">
        <v>123</v>
      </c>
      <c r="H113" s="413">
        <v>70</v>
      </c>
      <c r="I113" s="413">
        <v>0</v>
      </c>
      <c r="J113" s="414">
        <v>0</v>
      </c>
    </row>
    <row r="114" spans="1:10" ht="15.6" customHeight="1" x14ac:dyDescent="0.25">
      <c r="A114" s="405" t="s">
        <v>1366</v>
      </c>
      <c r="B114" s="412">
        <v>0</v>
      </c>
      <c r="C114" s="412">
        <v>0</v>
      </c>
      <c r="D114" s="412">
        <v>0</v>
      </c>
      <c r="E114" s="413">
        <v>10</v>
      </c>
      <c r="F114" s="413">
        <v>37</v>
      </c>
      <c r="G114" s="413">
        <v>69</v>
      </c>
      <c r="H114" s="413">
        <v>56</v>
      </c>
      <c r="I114" s="413">
        <v>0</v>
      </c>
      <c r="J114" s="407">
        <v>83</v>
      </c>
    </row>
    <row r="115" spans="1:10" ht="15.6" customHeight="1" x14ac:dyDescent="0.25">
      <c r="A115" s="405" t="s">
        <v>1367</v>
      </c>
      <c r="B115" s="412"/>
      <c r="C115" s="412"/>
      <c r="D115" s="412"/>
      <c r="E115" s="412"/>
      <c r="F115" s="413">
        <v>54</v>
      </c>
      <c r="G115" s="413">
        <v>129</v>
      </c>
      <c r="H115" s="413">
        <v>70</v>
      </c>
      <c r="I115" s="413">
        <v>0</v>
      </c>
      <c r="J115" s="414">
        <v>0</v>
      </c>
    </row>
    <row r="116" spans="1:10" ht="15.6" customHeight="1" x14ac:dyDescent="0.25">
      <c r="A116" s="405" t="s">
        <v>1368</v>
      </c>
      <c r="B116" s="413">
        <v>10119</v>
      </c>
      <c r="C116" s="413">
        <v>9164</v>
      </c>
      <c r="D116" s="413">
        <v>6123</v>
      </c>
      <c r="E116" s="413">
        <v>5270</v>
      </c>
      <c r="F116" s="413">
        <v>6607</v>
      </c>
      <c r="G116" s="413">
        <v>5089</v>
      </c>
      <c r="H116" s="413">
        <v>4958</v>
      </c>
      <c r="I116" s="413">
        <v>0</v>
      </c>
      <c r="J116" s="414">
        <v>0</v>
      </c>
    </row>
    <row r="117" spans="1:10" ht="15.6" customHeight="1" x14ac:dyDescent="0.25">
      <c r="A117" s="405" t="s">
        <v>1369</v>
      </c>
      <c r="B117" s="412"/>
      <c r="C117" s="412"/>
      <c r="D117" s="412"/>
      <c r="E117" s="412"/>
      <c r="F117" s="412"/>
      <c r="G117" s="413">
        <v>39</v>
      </c>
      <c r="H117" s="413">
        <v>34</v>
      </c>
      <c r="I117" s="413">
        <v>0</v>
      </c>
      <c r="J117" s="407">
        <v>158</v>
      </c>
    </row>
    <row r="118" spans="1:10" ht="15.6" customHeight="1" x14ac:dyDescent="0.25">
      <c r="A118" s="405" t="s">
        <v>1370</v>
      </c>
      <c r="B118" s="412">
        <v>0</v>
      </c>
      <c r="C118" s="412">
        <v>0</v>
      </c>
      <c r="D118" s="412">
        <v>0</v>
      </c>
      <c r="E118" s="413">
        <v>1303</v>
      </c>
      <c r="F118" s="413">
        <v>4296</v>
      </c>
      <c r="G118" s="413">
        <v>1008</v>
      </c>
      <c r="H118" s="413">
        <v>551</v>
      </c>
      <c r="I118" s="413">
        <v>0</v>
      </c>
      <c r="J118" s="407">
        <v>1248</v>
      </c>
    </row>
    <row r="119" spans="1:10" ht="15.6" customHeight="1" x14ac:dyDescent="0.25">
      <c r="A119" s="405" t="s">
        <v>1371</v>
      </c>
      <c r="B119" s="413">
        <v>13597</v>
      </c>
      <c r="C119" s="413">
        <v>13716</v>
      </c>
      <c r="D119" s="413">
        <v>9950</v>
      </c>
      <c r="E119" s="413">
        <v>10790</v>
      </c>
      <c r="F119" s="413">
        <v>16487</v>
      </c>
      <c r="G119" s="413">
        <v>11532</v>
      </c>
      <c r="H119" s="413">
        <v>12273</v>
      </c>
      <c r="I119" s="413">
        <v>0</v>
      </c>
      <c r="J119" s="407">
        <v>22140</v>
      </c>
    </row>
    <row r="120" spans="1:10" ht="15.95" customHeight="1" x14ac:dyDescent="0.25">
      <c r="A120" s="405" t="s">
        <v>1372</v>
      </c>
      <c r="B120" s="412"/>
      <c r="C120" s="412"/>
      <c r="D120" s="412"/>
      <c r="E120" s="412"/>
      <c r="F120" s="412"/>
      <c r="G120" s="412"/>
      <c r="H120" s="412"/>
      <c r="I120" s="415">
        <v>0</v>
      </c>
      <c r="J120" s="416">
        <v>32</v>
      </c>
    </row>
    <row r="121" spans="1:10" ht="15.75" x14ac:dyDescent="0.25">
      <c r="A121" s="405" t="s">
        <v>1373</v>
      </c>
      <c r="B121" s="413">
        <v>53</v>
      </c>
      <c r="C121" s="413">
        <v>34</v>
      </c>
      <c r="D121" s="413">
        <v>36</v>
      </c>
      <c r="E121" s="413">
        <v>11</v>
      </c>
      <c r="F121" s="413">
        <v>30</v>
      </c>
      <c r="G121" s="413">
        <v>58</v>
      </c>
      <c r="H121" s="413">
        <v>35</v>
      </c>
      <c r="I121" s="413">
        <v>0</v>
      </c>
      <c r="J121" s="407">
        <v>201</v>
      </c>
    </row>
    <row r="122" spans="1:10" ht="15.95" customHeight="1" x14ac:dyDescent="0.25">
      <c r="A122" s="405" t="s">
        <v>1374</v>
      </c>
      <c r="B122" s="413">
        <v>637</v>
      </c>
      <c r="C122" s="413">
        <v>823</v>
      </c>
      <c r="D122" s="413">
        <v>543</v>
      </c>
      <c r="E122" s="413">
        <v>2222</v>
      </c>
      <c r="F122" s="413">
        <v>10858</v>
      </c>
      <c r="G122" s="413">
        <v>21525</v>
      </c>
      <c r="H122" s="413">
        <v>8651</v>
      </c>
      <c r="I122" s="413">
        <v>0</v>
      </c>
      <c r="J122" s="407">
        <v>6375</v>
      </c>
    </row>
    <row r="123" spans="1:10" ht="15" customHeight="1" x14ac:dyDescent="0.25">
      <c r="A123" s="405" t="s">
        <v>1375</v>
      </c>
      <c r="B123" s="413">
        <v>236</v>
      </c>
      <c r="C123" s="413">
        <v>132</v>
      </c>
      <c r="D123" s="413">
        <v>105</v>
      </c>
      <c r="E123" s="413">
        <v>52</v>
      </c>
      <c r="F123" s="413">
        <v>88</v>
      </c>
      <c r="G123" s="413">
        <v>194</v>
      </c>
      <c r="H123" s="413">
        <v>68</v>
      </c>
      <c r="I123" s="413">
        <v>0</v>
      </c>
      <c r="J123" s="407">
        <v>221</v>
      </c>
    </row>
    <row r="124" spans="1:10" ht="15.6" customHeight="1" x14ac:dyDescent="0.25">
      <c r="A124" s="405" t="s">
        <v>1376</v>
      </c>
      <c r="B124" s="413">
        <v>81</v>
      </c>
      <c r="C124" s="413">
        <v>40</v>
      </c>
      <c r="D124" s="413">
        <v>29</v>
      </c>
      <c r="E124" s="413">
        <v>12</v>
      </c>
      <c r="F124" s="413">
        <v>5</v>
      </c>
      <c r="G124" s="413">
        <v>8</v>
      </c>
      <c r="H124" s="413">
        <v>4</v>
      </c>
      <c r="I124" s="413">
        <v>0</v>
      </c>
      <c r="J124" s="407">
        <v>17</v>
      </c>
    </row>
    <row r="125" spans="1:10" ht="15.6" customHeight="1" x14ac:dyDescent="0.25">
      <c r="A125" s="405" t="s">
        <v>1377</v>
      </c>
      <c r="B125" s="413">
        <v>134</v>
      </c>
      <c r="C125" s="413">
        <v>82</v>
      </c>
      <c r="D125" s="413">
        <v>72</v>
      </c>
      <c r="E125" s="413">
        <v>29</v>
      </c>
      <c r="F125" s="413">
        <v>26</v>
      </c>
      <c r="G125" s="413">
        <v>38</v>
      </c>
      <c r="H125" s="413">
        <v>58</v>
      </c>
      <c r="I125" s="413">
        <v>0</v>
      </c>
      <c r="J125" s="407">
        <v>12</v>
      </c>
    </row>
    <row r="126" spans="1:10" ht="15.6" customHeight="1" x14ac:dyDescent="0.25">
      <c r="A126" s="405" t="s">
        <v>1378</v>
      </c>
      <c r="B126" s="413">
        <v>27</v>
      </c>
      <c r="C126" s="413">
        <v>19</v>
      </c>
      <c r="D126" s="413">
        <v>17</v>
      </c>
      <c r="E126" s="413">
        <v>7</v>
      </c>
      <c r="F126" s="413">
        <v>12</v>
      </c>
      <c r="G126" s="413">
        <v>25</v>
      </c>
      <c r="H126" s="413">
        <v>40</v>
      </c>
      <c r="I126" s="413">
        <v>0</v>
      </c>
      <c r="J126" s="407">
        <v>61</v>
      </c>
    </row>
    <row r="127" spans="1:10" ht="15.6" customHeight="1" x14ac:dyDescent="0.25">
      <c r="A127" s="405" t="s">
        <v>1379</v>
      </c>
      <c r="B127" s="412"/>
      <c r="C127" s="412"/>
      <c r="D127" s="412"/>
      <c r="E127" s="412"/>
      <c r="F127" s="413">
        <v>86</v>
      </c>
      <c r="G127" s="413">
        <v>199</v>
      </c>
      <c r="H127" s="413">
        <v>38</v>
      </c>
      <c r="I127" s="413">
        <v>0</v>
      </c>
      <c r="J127" s="407">
        <v>223</v>
      </c>
    </row>
    <row r="128" spans="1:10" ht="15.6" customHeight="1" x14ac:dyDescent="0.25">
      <c r="A128" s="405" t="s">
        <v>1380</v>
      </c>
      <c r="B128" s="412">
        <v>0</v>
      </c>
      <c r="C128" s="412">
        <v>0</v>
      </c>
      <c r="D128" s="412">
        <v>0</v>
      </c>
      <c r="E128" s="413">
        <v>2452</v>
      </c>
      <c r="F128" s="413">
        <v>17061</v>
      </c>
      <c r="G128" s="413">
        <v>17048</v>
      </c>
      <c r="H128" s="413">
        <v>4979</v>
      </c>
      <c r="I128" s="413">
        <v>0</v>
      </c>
      <c r="J128" s="407">
        <v>3043</v>
      </c>
    </row>
    <row r="129" spans="1:10" ht="15.6" customHeight="1" thickBot="1" x14ac:dyDescent="0.3">
      <c r="A129" s="408" t="s">
        <v>1381</v>
      </c>
      <c r="B129" s="417">
        <v>51</v>
      </c>
      <c r="C129" s="417">
        <v>32</v>
      </c>
      <c r="D129" s="417">
        <v>14</v>
      </c>
      <c r="E129" s="417">
        <v>5</v>
      </c>
      <c r="F129" s="417">
        <v>24</v>
      </c>
      <c r="G129" s="417">
        <v>9</v>
      </c>
      <c r="H129" s="417">
        <v>11</v>
      </c>
      <c r="I129" s="417">
        <v>0</v>
      </c>
      <c r="J129" s="409">
        <v>37</v>
      </c>
    </row>
    <row r="130" spans="1:10" ht="15.6" customHeight="1" x14ac:dyDescent="0.25"/>
    <row r="131" spans="1:10" ht="15.6" customHeight="1" thickBot="1" x14ac:dyDescent="0.3">
      <c r="A131" s="369" t="s">
        <v>1382</v>
      </c>
      <c r="B131" s="33"/>
    </row>
    <row r="132" spans="1:10" ht="15.6" customHeight="1" x14ac:dyDescent="0.25">
      <c r="A132" s="403" t="s">
        <v>1364</v>
      </c>
      <c r="B132" s="411" t="s">
        <v>1347</v>
      </c>
      <c r="C132" s="411" t="s">
        <v>1348</v>
      </c>
      <c r="D132" s="411" t="s">
        <v>1349</v>
      </c>
      <c r="E132" s="411" t="s">
        <v>1350</v>
      </c>
      <c r="F132" s="411" t="s">
        <v>1357</v>
      </c>
      <c r="G132" s="411" t="s">
        <v>1352</v>
      </c>
      <c r="H132" s="411" t="s">
        <v>1271</v>
      </c>
      <c r="I132" s="411" t="s">
        <v>1270</v>
      </c>
      <c r="J132" s="404" t="s">
        <v>1213</v>
      </c>
    </row>
    <row r="133" spans="1:10" ht="15.6" customHeight="1" x14ac:dyDescent="0.25">
      <c r="A133" s="405" t="s">
        <v>1365</v>
      </c>
      <c r="B133" s="412"/>
      <c r="C133" s="412"/>
      <c r="D133" s="412"/>
      <c r="E133" s="412"/>
      <c r="F133" s="413">
        <v>173</v>
      </c>
      <c r="G133" s="413">
        <v>649</v>
      </c>
      <c r="H133" s="413">
        <v>491</v>
      </c>
      <c r="I133" s="413">
        <v>0</v>
      </c>
      <c r="J133" s="414">
        <v>0</v>
      </c>
    </row>
    <row r="134" spans="1:10" ht="15.6" customHeight="1" x14ac:dyDescent="0.25">
      <c r="A134" s="405" t="s">
        <v>1366</v>
      </c>
      <c r="B134" s="412">
        <v>0</v>
      </c>
      <c r="C134" s="412">
        <v>0</v>
      </c>
      <c r="D134" s="412">
        <v>0</v>
      </c>
      <c r="E134" s="413">
        <v>10</v>
      </c>
      <c r="F134" s="413">
        <v>36</v>
      </c>
      <c r="G134" s="413">
        <v>49</v>
      </c>
      <c r="H134" s="413">
        <v>55</v>
      </c>
      <c r="I134" s="413">
        <v>0</v>
      </c>
      <c r="J134" s="407">
        <v>88</v>
      </c>
    </row>
    <row r="135" spans="1:10" ht="15.6" customHeight="1" x14ac:dyDescent="0.25">
      <c r="A135" s="405" t="s">
        <v>1367</v>
      </c>
      <c r="B135" s="412"/>
      <c r="C135" s="412"/>
      <c r="D135" s="412"/>
      <c r="E135" s="412"/>
      <c r="F135" s="413">
        <v>108</v>
      </c>
      <c r="G135" s="413">
        <v>689</v>
      </c>
      <c r="H135" s="413">
        <v>551</v>
      </c>
      <c r="I135" s="413">
        <v>0</v>
      </c>
      <c r="J135" s="414">
        <v>0</v>
      </c>
    </row>
    <row r="136" spans="1:10" ht="15.6" customHeight="1" x14ac:dyDescent="0.25">
      <c r="A136" s="405" t="s">
        <v>1368</v>
      </c>
      <c r="B136" s="413">
        <v>33169</v>
      </c>
      <c r="C136" s="413">
        <v>43408</v>
      </c>
      <c r="D136" s="413">
        <v>11108</v>
      </c>
      <c r="E136" s="413">
        <v>5137</v>
      </c>
      <c r="F136" s="413">
        <v>5367</v>
      </c>
      <c r="G136" s="413">
        <v>8904</v>
      </c>
      <c r="H136" s="413">
        <v>10786</v>
      </c>
      <c r="I136" s="413">
        <v>0</v>
      </c>
      <c r="J136" s="414">
        <v>0</v>
      </c>
    </row>
    <row r="137" spans="1:10" ht="15.6" customHeight="1" x14ac:dyDescent="0.25">
      <c r="A137" s="405" t="s">
        <v>1369</v>
      </c>
      <c r="B137" s="412"/>
      <c r="C137" s="412"/>
      <c r="D137" s="412"/>
      <c r="E137" s="412"/>
      <c r="F137" s="412"/>
      <c r="G137" s="413">
        <v>200</v>
      </c>
      <c r="H137" s="413">
        <v>282</v>
      </c>
      <c r="I137" s="413">
        <v>0</v>
      </c>
      <c r="J137" s="407">
        <v>151</v>
      </c>
    </row>
    <row r="138" spans="1:10" ht="15.6" customHeight="1" x14ac:dyDescent="0.25">
      <c r="A138" s="405" t="s">
        <v>1370</v>
      </c>
      <c r="B138" s="412">
        <v>0</v>
      </c>
      <c r="C138" s="412">
        <v>0</v>
      </c>
      <c r="D138" s="412">
        <v>0</v>
      </c>
      <c r="E138" s="413">
        <v>12331</v>
      </c>
      <c r="F138" s="413">
        <v>3926</v>
      </c>
      <c r="G138" s="413">
        <v>1684</v>
      </c>
      <c r="H138" s="413">
        <v>2239</v>
      </c>
      <c r="I138" s="413">
        <v>0</v>
      </c>
      <c r="J138" s="407">
        <v>1406</v>
      </c>
    </row>
    <row r="139" spans="1:10" ht="15.6" customHeight="1" x14ac:dyDescent="0.25">
      <c r="A139" s="405" t="s">
        <v>1371</v>
      </c>
      <c r="B139" s="413">
        <v>62461</v>
      </c>
      <c r="C139" s="413">
        <v>104166</v>
      </c>
      <c r="D139" s="413">
        <v>16860</v>
      </c>
      <c r="E139" s="413">
        <v>13106</v>
      </c>
      <c r="F139" s="413">
        <v>11239</v>
      </c>
      <c r="G139" s="413">
        <v>21610</v>
      </c>
      <c r="H139" s="413">
        <v>27895</v>
      </c>
      <c r="I139" s="413">
        <v>0</v>
      </c>
      <c r="J139" s="407">
        <v>23974</v>
      </c>
    </row>
    <row r="140" spans="1:10" ht="15.95" customHeight="1" x14ac:dyDescent="0.25">
      <c r="A140" s="405" t="s">
        <v>1372</v>
      </c>
      <c r="B140" s="412"/>
      <c r="C140" s="412"/>
      <c r="D140" s="412"/>
      <c r="E140" s="412"/>
      <c r="F140" s="412"/>
      <c r="G140" s="412"/>
      <c r="H140" s="412"/>
      <c r="I140" s="415">
        <v>0</v>
      </c>
      <c r="J140" s="416">
        <v>37</v>
      </c>
    </row>
    <row r="141" spans="1:10" ht="15.6" customHeight="1" x14ac:dyDescent="0.25">
      <c r="A141" s="405" t="s">
        <v>1373</v>
      </c>
      <c r="B141" s="413">
        <v>777</v>
      </c>
      <c r="C141" s="413">
        <v>371</v>
      </c>
      <c r="D141" s="413">
        <v>152</v>
      </c>
      <c r="E141" s="413">
        <v>384</v>
      </c>
      <c r="F141" s="413">
        <v>962</v>
      </c>
      <c r="G141" s="413">
        <v>835</v>
      </c>
      <c r="H141" s="413">
        <v>693</v>
      </c>
      <c r="I141" s="413">
        <v>0</v>
      </c>
      <c r="J141" s="407">
        <v>203</v>
      </c>
    </row>
    <row r="142" spans="1:10" ht="15.95" customHeight="1" x14ac:dyDescent="0.25">
      <c r="A142" s="405" t="s">
        <v>1374</v>
      </c>
      <c r="B142" s="413">
        <v>3428</v>
      </c>
      <c r="C142" s="413">
        <v>7893</v>
      </c>
      <c r="D142" s="413">
        <v>1467</v>
      </c>
      <c r="E142" s="413">
        <v>26920</v>
      </c>
      <c r="F142" s="413">
        <v>48045</v>
      </c>
      <c r="G142" s="413">
        <v>4448</v>
      </c>
      <c r="H142" s="413">
        <v>10335</v>
      </c>
      <c r="I142" s="413">
        <v>0</v>
      </c>
      <c r="J142" s="407">
        <v>6618</v>
      </c>
    </row>
    <row r="143" spans="1:10" ht="15" customHeight="1" x14ac:dyDescent="0.25">
      <c r="A143" s="405" t="s">
        <v>1375</v>
      </c>
      <c r="B143" s="413">
        <v>290</v>
      </c>
      <c r="C143" s="413">
        <v>155</v>
      </c>
      <c r="D143" s="413">
        <v>129</v>
      </c>
      <c r="E143" s="413">
        <v>106</v>
      </c>
      <c r="F143" s="413">
        <v>502</v>
      </c>
      <c r="G143" s="413">
        <v>496</v>
      </c>
      <c r="H143" s="413">
        <v>191</v>
      </c>
      <c r="I143" s="413">
        <v>0</v>
      </c>
      <c r="J143" s="407">
        <v>237</v>
      </c>
    </row>
    <row r="144" spans="1:10" ht="15.6" customHeight="1" x14ac:dyDescent="0.25">
      <c r="A144" s="405" t="s">
        <v>1376</v>
      </c>
      <c r="B144" s="413">
        <v>113</v>
      </c>
      <c r="C144" s="413">
        <v>61</v>
      </c>
      <c r="D144" s="413">
        <v>39</v>
      </c>
      <c r="E144" s="413">
        <v>15</v>
      </c>
      <c r="F144" s="413">
        <v>9</v>
      </c>
      <c r="G144" s="413">
        <v>11</v>
      </c>
      <c r="H144" s="413">
        <v>7</v>
      </c>
      <c r="I144" s="413">
        <v>0</v>
      </c>
      <c r="J144" s="407">
        <v>33</v>
      </c>
    </row>
    <row r="145" spans="1:10" ht="15.6" customHeight="1" x14ac:dyDescent="0.25">
      <c r="A145" s="405" t="s">
        <v>1377</v>
      </c>
      <c r="B145" s="413">
        <v>121</v>
      </c>
      <c r="C145" s="413">
        <v>73</v>
      </c>
      <c r="D145" s="413">
        <v>68</v>
      </c>
      <c r="E145" s="413">
        <v>46</v>
      </c>
      <c r="F145" s="413">
        <v>58</v>
      </c>
      <c r="G145" s="413">
        <v>125</v>
      </c>
      <c r="H145" s="413">
        <v>508</v>
      </c>
      <c r="I145" s="413">
        <v>0</v>
      </c>
      <c r="J145" s="407">
        <v>11</v>
      </c>
    </row>
    <row r="146" spans="1:10" ht="15.6" customHeight="1" x14ac:dyDescent="0.25">
      <c r="A146" s="405" t="s">
        <v>1378</v>
      </c>
      <c r="B146" s="413">
        <v>41</v>
      </c>
      <c r="C146" s="413">
        <v>31</v>
      </c>
      <c r="D146" s="413">
        <v>21</v>
      </c>
      <c r="E146" s="413">
        <v>19</v>
      </c>
      <c r="F146" s="413">
        <v>107</v>
      </c>
      <c r="G146" s="413">
        <v>192</v>
      </c>
      <c r="H146" s="413">
        <v>269</v>
      </c>
      <c r="I146" s="413">
        <v>0</v>
      </c>
      <c r="J146" s="407">
        <v>64</v>
      </c>
    </row>
    <row r="147" spans="1:10" ht="15.6" customHeight="1" x14ac:dyDescent="0.25">
      <c r="A147" s="405" t="s">
        <v>1379</v>
      </c>
      <c r="B147" s="412"/>
      <c r="C147" s="412"/>
      <c r="D147" s="412"/>
      <c r="E147" s="412"/>
      <c r="F147" s="413">
        <v>75</v>
      </c>
      <c r="G147" s="413">
        <v>105</v>
      </c>
      <c r="H147" s="413">
        <v>106</v>
      </c>
      <c r="I147" s="413">
        <v>0</v>
      </c>
      <c r="J147" s="407">
        <v>255</v>
      </c>
    </row>
    <row r="148" spans="1:10" ht="15.6" customHeight="1" x14ac:dyDescent="0.25">
      <c r="A148" s="405" t="s">
        <v>1380</v>
      </c>
      <c r="B148" s="412">
        <v>0</v>
      </c>
      <c r="C148" s="412">
        <v>0</v>
      </c>
      <c r="D148" s="412">
        <v>0</v>
      </c>
      <c r="E148" s="413">
        <v>3823</v>
      </c>
      <c r="F148" s="413">
        <v>36644</v>
      </c>
      <c r="G148" s="413">
        <v>14918</v>
      </c>
      <c r="H148" s="413">
        <v>18343</v>
      </c>
      <c r="I148" s="413">
        <v>0</v>
      </c>
      <c r="J148" s="407">
        <v>3275</v>
      </c>
    </row>
    <row r="149" spans="1:10" ht="15.6" customHeight="1" thickBot="1" x14ac:dyDescent="0.3">
      <c r="A149" s="408" t="s">
        <v>1381</v>
      </c>
      <c r="B149" s="417">
        <v>99</v>
      </c>
      <c r="C149" s="417">
        <v>83</v>
      </c>
      <c r="D149" s="417">
        <v>37</v>
      </c>
      <c r="E149" s="417">
        <v>43</v>
      </c>
      <c r="F149" s="417">
        <v>75</v>
      </c>
      <c r="G149" s="417">
        <v>42</v>
      </c>
      <c r="H149" s="417">
        <v>96</v>
      </c>
      <c r="I149" s="417">
        <v>0</v>
      </c>
      <c r="J149" s="409">
        <v>44</v>
      </c>
    </row>
    <row r="150" spans="1:10" ht="15.6" customHeight="1" x14ac:dyDescent="0.25">
      <c r="A150" s="418"/>
      <c r="B150" s="419"/>
      <c r="C150" s="419"/>
      <c r="D150" s="419"/>
      <c r="E150" s="419"/>
      <c r="F150" s="419"/>
    </row>
    <row r="151" spans="1:10" ht="15.6" customHeight="1" thickBot="1" x14ac:dyDescent="0.3">
      <c r="A151" s="369" t="s">
        <v>1383</v>
      </c>
      <c r="B151" s="33"/>
    </row>
    <row r="152" spans="1:10" ht="15.6" customHeight="1" x14ac:dyDescent="0.25">
      <c r="A152" s="403" t="s">
        <v>1364</v>
      </c>
      <c r="B152" s="411" t="s">
        <v>1347</v>
      </c>
      <c r="C152" s="411" t="s">
        <v>1348</v>
      </c>
      <c r="D152" s="411" t="s">
        <v>1349</v>
      </c>
      <c r="E152" s="411" t="s">
        <v>1350</v>
      </c>
      <c r="F152" s="411" t="s">
        <v>1357</v>
      </c>
      <c r="G152" s="411" t="s">
        <v>1352</v>
      </c>
      <c r="H152" s="411" t="s">
        <v>1271</v>
      </c>
      <c r="I152" s="411" t="s">
        <v>1270</v>
      </c>
      <c r="J152" s="404" t="s">
        <v>1213</v>
      </c>
    </row>
    <row r="153" spans="1:10" ht="15.6" customHeight="1" x14ac:dyDescent="0.25">
      <c r="A153" s="405" t="s">
        <v>1365</v>
      </c>
      <c r="B153" s="412"/>
      <c r="C153" s="412"/>
      <c r="D153" s="412"/>
      <c r="E153" s="412"/>
      <c r="F153" s="413">
        <v>8</v>
      </c>
      <c r="G153" s="413">
        <v>47</v>
      </c>
      <c r="H153" s="413">
        <v>122</v>
      </c>
      <c r="I153" s="413">
        <v>0</v>
      </c>
      <c r="J153" s="414">
        <v>0</v>
      </c>
    </row>
    <row r="154" spans="1:10" ht="15.6" customHeight="1" x14ac:dyDescent="0.25">
      <c r="A154" s="405" t="s">
        <v>1366</v>
      </c>
      <c r="B154" s="412">
        <v>0</v>
      </c>
      <c r="C154" s="412">
        <v>0</v>
      </c>
      <c r="D154" s="412">
        <v>0</v>
      </c>
      <c r="E154" s="413">
        <v>0</v>
      </c>
      <c r="F154" s="413">
        <v>1</v>
      </c>
      <c r="G154" s="413">
        <v>2</v>
      </c>
      <c r="H154" s="413">
        <v>1</v>
      </c>
      <c r="I154" s="413">
        <v>0</v>
      </c>
      <c r="J154" s="407">
        <v>47</v>
      </c>
    </row>
    <row r="155" spans="1:10" ht="15.6" customHeight="1" x14ac:dyDescent="0.25">
      <c r="A155" s="405" t="s">
        <v>1367</v>
      </c>
      <c r="B155" s="412"/>
      <c r="C155" s="412"/>
      <c r="D155" s="412"/>
      <c r="E155" s="412"/>
      <c r="F155" s="413">
        <v>5</v>
      </c>
      <c r="G155" s="413">
        <v>42</v>
      </c>
      <c r="H155" s="413">
        <v>24</v>
      </c>
      <c r="I155" s="413">
        <v>0</v>
      </c>
      <c r="J155" s="414">
        <v>0</v>
      </c>
    </row>
    <row r="156" spans="1:10" ht="15.6" customHeight="1" x14ac:dyDescent="0.25">
      <c r="A156" s="405" t="s">
        <v>1368</v>
      </c>
      <c r="B156" s="413">
        <v>15445</v>
      </c>
      <c r="C156" s="413">
        <v>18981</v>
      </c>
      <c r="D156" s="413">
        <v>12590</v>
      </c>
      <c r="E156" s="413">
        <v>2872</v>
      </c>
      <c r="F156" s="413">
        <v>7376</v>
      </c>
      <c r="G156" s="413">
        <v>8600</v>
      </c>
      <c r="H156" s="413">
        <v>15255</v>
      </c>
      <c r="I156" s="413">
        <v>0</v>
      </c>
      <c r="J156" s="414">
        <v>0</v>
      </c>
    </row>
    <row r="157" spans="1:10" ht="15.6" customHeight="1" x14ac:dyDescent="0.25">
      <c r="A157" s="405" t="s">
        <v>1369</v>
      </c>
      <c r="B157" s="412"/>
      <c r="C157" s="412"/>
      <c r="D157" s="412"/>
      <c r="E157" s="412"/>
      <c r="F157" s="412"/>
      <c r="G157" s="413">
        <v>37</v>
      </c>
      <c r="H157" s="413">
        <v>27</v>
      </c>
      <c r="I157" s="413">
        <v>0</v>
      </c>
      <c r="J157" s="407">
        <v>64</v>
      </c>
    </row>
    <row r="158" spans="1:10" ht="15.6" customHeight="1" x14ac:dyDescent="0.25">
      <c r="A158" s="405" t="s">
        <v>1370</v>
      </c>
      <c r="B158" s="412">
        <v>0</v>
      </c>
      <c r="C158" s="412">
        <v>0</v>
      </c>
      <c r="D158" s="412">
        <v>0</v>
      </c>
      <c r="E158" s="413">
        <v>16</v>
      </c>
      <c r="F158" s="413">
        <v>1612</v>
      </c>
      <c r="G158" s="413">
        <v>1115</v>
      </c>
      <c r="H158" s="413">
        <v>767</v>
      </c>
      <c r="I158" s="413">
        <v>0</v>
      </c>
      <c r="J158" s="407">
        <v>1255</v>
      </c>
    </row>
    <row r="159" spans="1:10" ht="15.6" customHeight="1" x14ac:dyDescent="0.25">
      <c r="A159" s="405" t="s">
        <v>1371</v>
      </c>
      <c r="B159" s="413">
        <v>28894</v>
      </c>
      <c r="C159" s="413">
        <v>41800</v>
      </c>
      <c r="D159" s="413">
        <v>21139</v>
      </c>
      <c r="E159" s="413">
        <v>4904</v>
      </c>
      <c r="F159" s="413">
        <v>6541</v>
      </c>
      <c r="G159" s="413">
        <v>22631</v>
      </c>
      <c r="H159" s="413">
        <v>45535</v>
      </c>
      <c r="I159" s="413">
        <v>0</v>
      </c>
      <c r="J159" s="407">
        <v>24470</v>
      </c>
    </row>
    <row r="160" spans="1:10" ht="15.95" customHeight="1" x14ac:dyDescent="0.25">
      <c r="A160" s="405" t="s">
        <v>1372</v>
      </c>
      <c r="B160" s="412"/>
      <c r="C160" s="412"/>
      <c r="D160" s="412"/>
      <c r="E160" s="412"/>
      <c r="F160" s="412"/>
      <c r="G160" s="412"/>
      <c r="H160" s="412"/>
      <c r="I160" s="415">
        <v>0</v>
      </c>
      <c r="J160" s="416">
        <v>24</v>
      </c>
    </row>
    <row r="161" spans="1:10" ht="15.75" x14ac:dyDescent="0.25">
      <c r="A161" s="405" t="s">
        <v>1373</v>
      </c>
      <c r="B161" s="413">
        <v>45</v>
      </c>
      <c r="C161" s="413">
        <v>162</v>
      </c>
      <c r="D161" s="413">
        <v>97</v>
      </c>
      <c r="E161" s="413">
        <v>23</v>
      </c>
      <c r="F161" s="413">
        <v>32</v>
      </c>
      <c r="G161" s="413">
        <v>26</v>
      </c>
      <c r="H161" s="413">
        <v>57</v>
      </c>
      <c r="I161" s="413">
        <v>0</v>
      </c>
      <c r="J161" s="407">
        <v>545</v>
      </c>
    </row>
    <row r="162" spans="1:10" ht="15.75" x14ac:dyDescent="0.25">
      <c r="A162" s="405" t="s">
        <v>1374</v>
      </c>
      <c r="B162" s="413">
        <v>879</v>
      </c>
      <c r="C162" s="413">
        <v>2240</v>
      </c>
      <c r="D162" s="413">
        <v>1416</v>
      </c>
      <c r="E162" s="413">
        <v>964</v>
      </c>
      <c r="F162" s="413">
        <v>2605</v>
      </c>
      <c r="G162" s="413">
        <v>2408</v>
      </c>
      <c r="H162" s="413">
        <v>3857</v>
      </c>
      <c r="I162" s="413">
        <v>0</v>
      </c>
      <c r="J162" s="407">
        <v>7454</v>
      </c>
    </row>
    <row r="163" spans="1:10" ht="15.75" x14ac:dyDescent="0.25">
      <c r="A163" s="405" t="s">
        <v>1375</v>
      </c>
      <c r="B163" s="413">
        <v>229</v>
      </c>
      <c r="C163" s="413">
        <v>151</v>
      </c>
      <c r="D163" s="413">
        <v>112</v>
      </c>
      <c r="E163" s="413">
        <v>47</v>
      </c>
      <c r="F163" s="413">
        <v>23</v>
      </c>
      <c r="G163" s="413">
        <v>47</v>
      </c>
      <c r="H163" s="413">
        <v>63</v>
      </c>
      <c r="I163" s="413">
        <v>0</v>
      </c>
      <c r="J163" s="407">
        <v>133</v>
      </c>
    </row>
    <row r="164" spans="1:10" ht="15.75" x14ac:dyDescent="0.25">
      <c r="A164" s="405" t="s">
        <v>1376</v>
      </c>
      <c r="B164" s="413">
        <v>61</v>
      </c>
      <c r="C164" s="413">
        <v>65</v>
      </c>
      <c r="D164" s="413">
        <v>41</v>
      </c>
      <c r="E164" s="413">
        <v>22</v>
      </c>
      <c r="F164" s="413">
        <v>0</v>
      </c>
      <c r="G164" s="413">
        <v>4</v>
      </c>
      <c r="H164" s="413">
        <v>0</v>
      </c>
      <c r="I164" s="413">
        <v>0</v>
      </c>
      <c r="J164" s="407">
        <v>19</v>
      </c>
    </row>
    <row r="165" spans="1:10" ht="15.75" x14ac:dyDescent="0.25">
      <c r="A165" s="405" t="s">
        <v>1377</v>
      </c>
      <c r="B165" s="413">
        <v>42</v>
      </c>
      <c r="C165" s="413">
        <v>18</v>
      </c>
      <c r="D165" s="413">
        <v>17</v>
      </c>
      <c r="E165" s="413">
        <v>4</v>
      </c>
      <c r="F165" s="413">
        <v>9</v>
      </c>
      <c r="G165" s="413">
        <v>15</v>
      </c>
      <c r="H165" s="413">
        <v>5</v>
      </c>
      <c r="I165" s="413">
        <v>0</v>
      </c>
      <c r="J165" s="407">
        <v>3</v>
      </c>
    </row>
    <row r="166" spans="1:10" ht="15.75" x14ac:dyDescent="0.25">
      <c r="A166" s="405" t="s">
        <v>1378</v>
      </c>
      <c r="B166" s="413">
        <v>7</v>
      </c>
      <c r="C166" s="413">
        <v>9</v>
      </c>
      <c r="D166" s="413">
        <v>2</v>
      </c>
      <c r="E166" s="413">
        <v>0</v>
      </c>
      <c r="F166" s="413">
        <v>6</v>
      </c>
      <c r="G166" s="413">
        <v>19</v>
      </c>
      <c r="H166" s="413">
        <v>10</v>
      </c>
      <c r="I166" s="413">
        <v>0</v>
      </c>
      <c r="J166" s="407">
        <v>30</v>
      </c>
    </row>
    <row r="167" spans="1:10" ht="15.75" x14ac:dyDescent="0.25">
      <c r="A167" s="405" t="s">
        <v>1379</v>
      </c>
      <c r="B167" s="412"/>
      <c r="C167" s="412"/>
      <c r="D167" s="412"/>
      <c r="E167" s="412"/>
      <c r="F167" s="413">
        <v>10</v>
      </c>
      <c r="G167" s="413">
        <v>41</v>
      </c>
      <c r="H167" s="413">
        <v>53</v>
      </c>
      <c r="I167" s="413">
        <v>0</v>
      </c>
      <c r="J167" s="407">
        <v>110</v>
      </c>
    </row>
    <row r="168" spans="1:10" ht="15.75" x14ac:dyDescent="0.25">
      <c r="A168" s="405" t="s">
        <v>1380</v>
      </c>
      <c r="B168" s="412">
        <v>0</v>
      </c>
      <c r="C168" s="412">
        <v>0</v>
      </c>
      <c r="D168" s="412">
        <v>0</v>
      </c>
      <c r="E168" s="413">
        <v>18</v>
      </c>
      <c r="F168" s="413">
        <v>197</v>
      </c>
      <c r="G168" s="413">
        <v>894</v>
      </c>
      <c r="H168" s="413">
        <v>3249</v>
      </c>
      <c r="I168" s="413">
        <v>0</v>
      </c>
      <c r="J168" s="407">
        <v>3269</v>
      </c>
    </row>
    <row r="169" spans="1:10" ht="16.5" thickBot="1" x14ac:dyDescent="0.3">
      <c r="A169" s="408" t="s">
        <v>1381</v>
      </c>
      <c r="B169" s="417">
        <v>24</v>
      </c>
      <c r="C169" s="417">
        <v>46</v>
      </c>
      <c r="D169" s="417">
        <v>14</v>
      </c>
      <c r="E169" s="417">
        <v>6</v>
      </c>
      <c r="F169" s="417">
        <v>17</v>
      </c>
      <c r="G169" s="417">
        <v>12</v>
      </c>
      <c r="H169" s="417">
        <v>11</v>
      </c>
      <c r="I169" s="417">
        <v>0</v>
      </c>
      <c r="J169" s="409">
        <v>34</v>
      </c>
    </row>
  </sheetData>
  <mergeCells count="1">
    <mergeCell ref="A1:L1"/>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0DF1-4C2A-4350-B9B1-5203282A4BBD}">
  <dimension ref="A1:U8"/>
  <sheetViews>
    <sheetView showGridLines="0" zoomScale="80" zoomScaleNormal="80" workbookViewId="0"/>
  </sheetViews>
  <sheetFormatPr defaultColWidth="8.85546875" defaultRowHeight="15.75" x14ac:dyDescent="0.25"/>
  <cols>
    <col min="1" max="1" width="64" style="33" customWidth="1"/>
    <col min="2" max="2" width="10.140625" style="33" bestFit="1" customWidth="1"/>
    <col min="3" max="3" width="13.5703125" style="33" customWidth="1"/>
    <col min="4" max="4" width="11.85546875" style="33" customWidth="1"/>
    <col min="5" max="5" width="13.85546875" style="33" customWidth="1"/>
    <col min="6" max="6" width="13.5703125" style="33" customWidth="1"/>
    <col min="7" max="7" width="15.140625" style="33" customWidth="1"/>
    <col min="8" max="8" width="11" style="33" bestFit="1" customWidth="1"/>
    <col min="9" max="9" width="10.7109375" style="33" bestFit="1" customWidth="1"/>
    <col min="10" max="10" width="10.140625" style="33" bestFit="1" customWidth="1"/>
    <col min="11" max="11" width="11" style="33" bestFit="1" customWidth="1"/>
    <col min="12" max="12" width="10.5703125" style="33" customWidth="1"/>
    <col min="13" max="13" width="11.42578125" style="33" customWidth="1"/>
    <col min="14" max="14" width="11.5703125" style="33" customWidth="1"/>
    <col min="15" max="15" width="13.5703125" style="33" customWidth="1"/>
    <col min="16" max="21" width="10.7109375" style="33" customWidth="1"/>
    <col min="22" max="16384" width="8.85546875" style="33"/>
  </cols>
  <sheetData>
    <row r="1" spans="1:21" x14ac:dyDescent="0.25">
      <c r="A1" s="369" t="s">
        <v>1384</v>
      </c>
    </row>
    <row r="2" spans="1:21" ht="15.95" customHeight="1" thickBot="1" x14ac:dyDescent="0.3"/>
    <row r="3" spans="1:21" x14ac:dyDescent="0.25">
      <c r="A3" s="403"/>
      <c r="B3" s="411">
        <v>45597</v>
      </c>
      <c r="C3" s="411">
        <v>45627</v>
      </c>
      <c r="D3" s="411">
        <v>45658</v>
      </c>
      <c r="E3" s="411">
        <v>45689</v>
      </c>
      <c r="F3" s="411">
        <v>45717</v>
      </c>
      <c r="G3" s="411">
        <v>45748</v>
      </c>
      <c r="H3" s="411">
        <v>45778</v>
      </c>
      <c r="I3" s="411">
        <v>45809</v>
      </c>
      <c r="J3" s="411">
        <v>45839</v>
      </c>
      <c r="K3" s="411">
        <v>45870</v>
      </c>
      <c r="L3" s="404">
        <v>45901</v>
      </c>
      <c r="M3" s="420">
        <v>45931</v>
      </c>
      <c r="N3" s="421">
        <v>45962</v>
      </c>
      <c r="O3" s="421">
        <v>45992</v>
      </c>
      <c r="P3" s="421">
        <v>46023</v>
      </c>
      <c r="Q3" s="421">
        <v>46054</v>
      </c>
      <c r="R3" s="421">
        <v>46082</v>
      </c>
      <c r="S3" s="421">
        <v>46113</v>
      </c>
      <c r="T3" s="421">
        <v>46143</v>
      </c>
      <c r="U3" s="422">
        <v>46174</v>
      </c>
    </row>
    <row r="4" spans="1:21" x14ac:dyDescent="0.25">
      <c r="A4" s="405" t="s">
        <v>1385</v>
      </c>
      <c r="B4" s="413">
        <v>0</v>
      </c>
      <c r="C4" s="413">
        <v>0</v>
      </c>
      <c r="D4" s="413">
        <v>0</v>
      </c>
      <c r="E4" s="413">
        <v>0</v>
      </c>
      <c r="F4" s="413">
        <v>0</v>
      </c>
      <c r="G4" s="413">
        <v>0</v>
      </c>
      <c r="H4" s="413">
        <v>0</v>
      </c>
      <c r="I4" s="413">
        <v>0</v>
      </c>
      <c r="J4" s="413">
        <v>0</v>
      </c>
      <c r="K4" s="413">
        <v>0</v>
      </c>
      <c r="L4" s="407">
        <v>0</v>
      </c>
      <c r="M4" s="423">
        <v>37533</v>
      </c>
      <c r="N4" s="413">
        <v>36440</v>
      </c>
      <c r="O4" s="413">
        <v>38728</v>
      </c>
      <c r="P4" s="413">
        <v>37400</v>
      </c>
      <c r="Q4" s="413">
        <v>36634</v>
      </c>
      <c r="R4" s="413">
        <v>36880</v>
      </c>
      <c r="S4" s="413">
        <v>33877</v>
      </c>
      <c r="T4" s="413">
        <v>36196</v>
      </c>
      <c r="U4" s="407">
        <v>34551</v>
      </c>
    </row>
    <row r="5" spans="1:21" x14ac:dyDescent="0.25">
      <c r="A5" s="405" t="s">
        <v>1386</v>
      </c>
      <c r="B5" s="413">
        <v>0</v>
      </c>
      <c r="C5" s="413">
        <v>0</v>
      </c>
      <c r="D5" s="413">
        <v>0</v>
      </c>
      <c r="E5" s="413">
        <v>0</v>
      </c>
      <c r="F5" s="413">
        <v>0</v>
      </c>
      <c r="G5" s="413">
        <v>0</v>
      </c>
      <c r="H5" s="413">
        <v>0</v>
      </c>
      <c r="I5" s="413">
        <v>0</v>
      </c>
      <c r="J5" s="413">
        <v>0</v>
      </c>
      <c r="K5" s="413">
        <v>0</v>
      </c>
      <c r="L5" s="407">
        <v>0</v>
      </c>
      <c r="M5" s="423">
        <v>1106</v>
      </c>
      <c r="N5" s="413">
        <v>1295</v>
      </c>
      <c r="O5" s="413">
        <v>2130</v>
      </c>
      <c r="P5" s="413">
        <v>2326</v>
      </c>
      <c r="Q5" s="413">
        <v>2129</v>
      </c>
      <c r="R5" s="413">
        <v>2257</v>
      </c>
      <c r="S5" s="413">
        <v>1881</v>
      </c>
      <c r="T5" s="413">
        <v>2113</v>
      </c>
      <c r="U5" s="407">
        <v>2168</v>
      </c>
    </row>
    <row r="6" spans="1:21" x14ac:dyDescent="0.25">
      <c r="A6" s="405" t="s">
        <v>1387</v>
      </c>
      <c r="B6" s="424">
        <v>0</v>
      </c>
      <c r="C6" s="424">
        <v>0</v>
      </c>
      <c r="D6" s="424">
        <v>0</v>
      </c>
      <c r="E6" s="424">
        <v>0</v>
      </c>
      <c r="F6" s="424">
        <v>0</v>
      </c>
      <c r="G6" s="424">
        <v>0</v>
      </c>
      <c r="H6" s="424">
        <v>0</v>
      </c>
      <c r="I6" s="424">
        <v>0</v>
      </c>
      <c r="J6" s="424">
        <v>0</v>
      </c>
      <c r="K6" s="424">
        <v>0</v>
      </c>
      <c r="L6" s="425">
        <v>0</v>
      </c>
      <c r="M6" s="426">
        <f>IF(ISERROR(M5/M4),0,M5/M4)</f>
        <v>2.9467402019556124E-2</v>
      </c>
      <c r="N6" s="424">
        <f>IF(ISERROR(N5/N4),0,N5/N4)</f>
        <v>3.5537870472008778E-2</v>
      </c>
      <c r="O6" s="425">
        <f>IF(ISERROR(O5/O4),0,O5/O4)</f>
        <v>5.4998967155546377E-2</v>
      </c>
      <c r="P6" s="425">
        <f t="shared" ref="P6:U6" si="0">IF(ISERROR(P5/P4),0,P5/P4)</f>
        <v>6.2192513368983959E-2</v>
      </c>
      <c r="Q6" s="425">
        <f t="shared" si="0"/>
        <v>5.8115411912431074E-2</v>
      </c>
      <c r="R6" s="425">
        <f t="shared" si="0"/>
        <v>6.1198481561822123E-2</v>
      </c>
      <c r="S6" s="425">
        <f t="shared" si="0"/>
        <v>5.5524397083567024E-2</v>
      </c>
      <c r="T6" s="425">
        <f t="shared" si="0"/>
        <v>5.8376616200685155E-2</v>
      </c>
      <c r="U6" s="425">
        <f t="shared" si="0"/>
        <v>6.2747822060142983E-2</v>
      </c>
    </row>
    <row r="7" spans="1:21" x14ac:dyDescent="0.25">
      <c r="A7" s="405" t="s">
        <v>1388</v>
      </c>
      <c r="B7" s="427">
        <v>0</v>
      </c>
      <c r="C7" s="427">
        <v>0</v>
      </c>
      <c r="D7" s="427">
        <v>0</v>
      </c>
      <c r="E7" s="427">
        <v>0</v>
      </c>
      <c r="F7" s="427">
        <v>0</v>
      </c>
      <c r="G7" s="427">
        <v>0</v>
      </c>
      <c r="H7" s="427">
        <v>0</v>
      </c>
      <c r="I7" s="427">
        <v>0</v>
      </c>
      <c r="J7" s="427">
        <v>0</v>
      </c>
      <c r="K7" s="427">
        <v>0</v>
      </c>
      <c r="L7" s="428">
        <v>0</v>
      </c>
      <c r="M7" s="429">
        <v>7352.0076481835504</v>
      </c>
      <c r="N7" s="427">
        <v>7548.72792362768</v>
      </c>
      <c r="O7" s="427">
        <v>7005.6015586945896</v>
      </c>
      <c r="P7" s="427">
        <v>7773.6620964175099</v>
      </c>
      <c r="Q7" s="427">
        <v>8833.3970163618797</v>
      </c>
      <c r="R7" s="427">
        <v>8933.1687668766808</v>
      </c>
      <c r="S7" s="427">
        <v>9616.3508676789497</v>
      </c>
      <c r="T7" s="427">
        <v>9385.4510184287101</v>
      </c>
      <c r="U7" s="428">
        <v>9539.0586334256695</v>
      </c>
    </row>
    <row r="8" spans="1:21" ht="15.95" customHeight="1" thickBot="1" x14ac:dyDescent="0.3">
      <c r="A8" s="408" t="s">
        <v>1389</v>
      </c>
      <c r="B8" s="430">
        <v>0</v>
      </c>
      <c r="C8" s="430">
        <v>0</v>
      </c>
      <c r="D8" s="430">
        <v>0</v>
      </c>
      <c r="E8" s="430">
        <v>0</v>
      </c>
      <c r="F8" s="430">
        <v>0</v>
      </c>
      <c r="G8" s="430">
        <v>0</v>
      </c>
      <c r="H8" s="430">
        <v>0</v>
      </c>
      <c r="I8" s="430">
        <v>0</v>
      </c>
      <c r="J8" s="430">
        <v>0</v>
      </c>
      <c r="K8" s="430">
        <v>0</v>
      </c>
      <c r="L8" s="431">
        <v>0</v>
      </c>
      <c r="M8" s="432">
        <v>51.289299999999997</v>
      </c>
      <c r="N8" s="430">
        <v>52.8703</v>
      </c>
      <c r="O8" s="430">
        <v>58.234299999999998</v>
      </c>
      <c r="P8" s="430">
        <v>67.294899999999998</v>
      </c>
      <c r="Q8" s="430">
        <v>68.498400000000004</v>
      </c>
      <c r="R8" s="430">
        <v>75.220200000000006</v>
      </c>
      <c r="S8" s="430">
        <v>84.504000000000005</v>
      </c>
      <c r="T8" s="430">
        <v>88.432100000000005</v>
      </c>
      <c r="U8" s="431">
        <v>75.584900000000005</v>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70B5-5CC5-44BD-AE94-8C1ED1BA6BA9}">
  <dimension ref="A1:AA218"/>
  <sheetViews>
    <sheetView zoomScale="70" zoomScaleNormal="70" workbookViewId="0">
      <pane xSplit="1" ySplit="10" topLeftCell="B11" activePane="bottomRight" state="frozen"/>
      <selection pane="topRight" activeCell="B1" sqref="B1"/>
      <selection pane="bottomLeft" activeCell="A11" sqref="A11"/>
      <selection pane="bottomRight"/>
    </sheetView>
  </sheetViews>
  <sheetFormatPr defaultRowHeight="15" x14ac:dyDescent="0.25"/>
  <cols>
    <col min="1" max="1" width="75.28515625" customWidth="1"/>
    <col min="2" max="2" width="51.42578125" bestFit="1" customWidth="1"/>
    <col min="3" max="3" width="24.85546875" bestFit="1" customWidth="1"/>
    <col min="4" max="4" width="6.85546875" bestFit="1" customWidth="1"/>
    <col min="5" max="5" width="7.42578125" bestFit="1" customWidth="1"/>
    <col min="6" max="6" width="6.7109375" bestFit="1" customWidth="1"/>
    <col min="7" max="7" width="15.85546875" bestFit="1" customWidth="1"/>
    <col min="8" max="8" width="15" bestFit="1" customWidth="1"/>
    <col min="9" max="9" width="18.85546875" customWidth="1"/>
    <col min="10" max="11" width="9.28515625" bestFit="1" customWidth="1"/>
    <col min="12" max="12" width="9.5703125" bestFit="1" customWidth="1"/>
    <col min="13" max="13" width="9.28515625" bestFit="1" customWidth="1"/>
    <col min="14" max="14" width="13" bestFit="1" customWidth="1"/>
    <col min="15" max="15" width="18.28515625" bestFit="1" customWidth="1"/>
    <col min="16" max="16" width="15.42578125" bestFit="1" customWidth="1"/>
    <col min="17" max="17" width="20.7109375" bestFit="1" customWidth="1"/>
    <col min="18" max="20" width="21.42578125" bestFit="1" customWidth="1"/>
    <col min="21" max="21" width="23" bestFit="1" customWidth="1"/>
    <col min="22" max="22" width="25.28515625" bestFit="1" customWidth="1"/>
    <col min="23" max="23" width="25.7109375" bestFit="1" customWidth="1"/>
    <col min="24" max="24" width="23.42578125" bestFit="1" customWidth="1"/>
    <col min="25" max="25" width="28.140625" style="64" bestFit="1" customWidth="1"/>
    <col min="26" max="26" width="31.140625" bestFit="1" customWidth="1"/>
    <col min="27" max="27" width="20" bestFit="1" customWidth="1"/>
  </cols>
  <sheetData>
    <row r="1" spans="1:27" ht="15.75" x14ac:dyDescent="0.25">
      <c r="A1" s="57" t="s">
        <v>5</v>
      </c>
    </row>
    <row r="3" spans="1:27" ht="15.75" x14ac:dyDescent="0.25">
      <c r="A3" s="57" t="s">
        <v>6</v>
      </c>
    </row>
    <row r="4" spans="1:27" ht="15.75" x14ac:dyDescent="0.25">
      <c r="A4" s="57" t="s">
        <v>7</v>
      </c>
    </row>
    <row r="5" spans="1:27" ht="15.75" x14ac:dyDescent="0.25">
      <c r="A5" s="57" t="s">
        <v>8</v>
      </c>
    </row>
    <row r="7" spans="1:27" ht="15.75" x14ac:dyDescent="0.25">
      <c r="A7" s="57" t="s">
        <v>9</v>
      </c>
    </row>
    <row r="9" spans="1:27" ht="31.5" x14ac:dyDescent="0.25">
      <c r="A9" s="146" t="s">
        <v>10</v>
      </c>
      <c r="B9" s="146"/>
      <c r="C9" s="146"/>
      <c r="D9" s="146"/>
      <c r="E9" s="146"/>
      <c r="F9" s="146"/>
      <c r="G9" s="146"/>
      <c r="H9" s="146"/>
      <c r="I9" s="58" t="s">
        <v>11</v>
      </c>
      <c r="J9" s="146" t="s">
        <v>12</v>
      </c>
      <c r="K9" s="146"/>
      <c r="L9" s="146"/>
      <c r="M9" s="146"/>
      <c r="N9" s="146" t="s">
        <v>13</v>
      </c>
      <c r="O9" s="146"/>
      <c r="P9" s="146"/>
      <c r="Q9" s="146"/>
      <c r="R9" s="146" t="s">
        <v>14</v>
      </c>
      <c r="S9" s="146"/>
      <c r="T9" s="146"/>
      <c r="U9" s="146"/>
      <c r="V9" s="58" t="s">
        <v>15</v>
      </c>
      <c r="W9" s="146" t="s">
        <v>16</v>
      </c>
      <c r="X9" s="146"/>
      <c r="Y9" s="146"/>
      <c r="Z9" s="146"/>
      <c r="AA9" s="146"/>
    </row>
    <row r="10" spans="1:27" ht="15.75" x14ac:dyDescent="0.25">
      <c r="A10" s="125" t="s">
        <v>17</v>
      </c>
      <c r="B10" s="125" t="s">
        <v>18</v>
      </c>
      <c r="C10" s="125" t="s">
        <v>19</v>
      </c>
      <c r="D10" s="125" t="s">
        <v>20</v>
      </c>
      <c r="E10" s="125" t="s">
        <v>21</v>
      </c>
      <c r="F10" s="125" t="s">
        <v>22</v>
      </c>
      <c r="G10" s="125" t="s">
        <v>23</v>
      </c>
      <c r="H10" s="125" t="s">
        <v>24</v>
      </c>
      <c r="I10" s="125" t="s">
        <v>25</v>
      </c>
      <c r="J10" s="125" t="s">
        <v>26</v>
      </c>
      <c r="K10" s="125" t="s">
        <v>27</v>
      </c>
      <c r="L10" s="125" t="s">
        <v>28</v>
      </c>
      <c r="M10" s="125" t="s">
        <v>29</v>
      </c>
      <c r="N10" s="125" t="s">
        <v>30</v>
      </c>
      <c r="O10" s="125" t="s">
        <v>31</v>
      </c>
      <c r="P10" s="125" t="s">
        <v>32</v>
      </c>
      <c r="Q10" s="125" t="s">
        <v>33</v>
      </c>
      <c r="R10" s="125" t="s">
        <v>34</v>
      </c>
      <c r="S10" s="125" t="s">
        <v>35</v>
      </c>
      <c r="T10" s="125" t="s">
        <v>36</v>
      </c>
      <c r="U10" s="125" t="s">
        <v>37</v>
      </c>
      <c r="V10" s="125" t="s">
        <v>38</v>
      </c>
      <c r="W10" s="125" t="s">
        <v>39</v>
      </c>
      <c r="X10" s="125" t="s">
        <v>40</v>
      </c>
      <c r="Y10" s="126" t="s">
        <v>41</v>
      </c>
      <c r="Z10" s="125" t="s">
        <v>42</v>
      </c>
      <c r="AA10" s="125" t="s">
        <v>43</v>
      </c>
    </row>
    <row r="11" spans="1:27" ht="15.75" x14ac:dyDescent="0.25">
      <c r="A11" s="127" t="s">
        <v>44</v>
      </c>
      <c r="B11" s="127" t="s">
        <v>45</v>
      </c>
      <c r="C11" s="127" t="s">
        <v>46</v>
      </c>
      <c r="D11" s="127" t="s">
        <v>47</v>
      </c>
      <c r="E11" s="127" t="s">
        <v>48</v>
      </c>
      <c r="F11" s="127" t="s">
        <v>49</v>
      </c>
      <c r="G11" s="127" t="s">
        <v>50</v>
      </c>
      <c r="H11" s="127" t="s">
        <v>51</v>
      </c>
      <c r="I11" s="128">
        <v>34.63486880466472</v>
      </c>
      <c r="J11" s="128">
        <v>1505.7366549999999</v>
      </c>
      <c r="K11" s="128">
        <v>227.82206400000001</v>
      </c>
      <c r="L11" s="128">
        <v>84.024911000000003</v>
      </c>
      <c r="M11" s="128">
        <v>60.697508999999997</v>
      </c>
      <c r="N11" s="128">
        <v>160.12099599999999</v>
      </c>
      <c r="O11" s="128">
        <v>1718.13879</v>
      </c>
      <c r="P11" s="128">
        <v>0</v>
      </c>
      <c r="Q11" s="128">
        <v>2.1351999999999999E-2</v>
      </c>
      <c r="R11" s="128">
        <v>65.612099999999998</v>
      </c>
      <c r="S11" s="128">
        <v>56.864769000000003</v>
      </c>
      <c r="T11" s="128">
        <v>94.088967999999994</v>
      </c>
      <c r="U11" s="128">
        <v>1661.7153029999999</v>
      </c>
      <c r="V11" s="128">
        <v>1188.313167</v>
      </c>
      <c r="W11" s="128">
        <v>1436</v>
      </c>
      <c r="X11" s="127" t="s">
        <v>52</v>
      </c>
      <c r="Y11" s="129">
        <v>46149</v>
      </c>
      <c r="Z11" s="127" t="s">
        <v>53</v>
      </c>
      <c r="AA11" s="127" t="s">
        <v>54</v>
      </c>
    </row>
    <row r="12" spans="1:27" ht="15.75" x14ac:dyDescent="0.25">
      <c r="A12" s="127" t="s">
        <v>55</v>
      </c>
      <c r="B12" s="127" t="s">
        <v>56</v>
      </c>
      <c r="C12" s="127" t="s">
        <v>57</v>
      </c>
      <c r="D12" s="127" t="s">
        <v>58</v>
      </c>
      <c r="E12" s="127" t="s">
        <v>59</v>
      </c>
      <c r="F12" s="127" t="s">
        <v>60</v>
      </c>
      <c r="G12" s="127" t="s">
        <v>61</v>
      </c>
      <c r="H12" s="127" t="s">
        <v>51</v>
      </c>
      <c r="I12" s="128">
        <v>51.947506234413957</v>
      </c>
      <c r="J12" s="128">
        <v>613.44484</v>
      </c>
      <c r="K12" s="128">
        <v>178.523132</v>
      </c>
      <c r="L12" s="128">
        <v>399.47686800000002</v>
      </c>
      <c r="M12" s="128">
        <v>494.87544500000001</v>
      </c>
      <c r="N12" s="128">
        <v>624.06761600000004</v>
      </c>
      <c r="O12" s="128">
        <v>800.70462599999996</v>
      </c>
      <c r="P12" s="128">
        <v>28.676157</v>
      </c>
      <c r="Q12" s="128">
        <v>232.87188599999999</v>
      </c>
      <c r="R12" s="128">
        <v>506.89679699999999</v>
      </c>
      <c r="S12" s="128">
        <v>179.56227799999999</v>
      </c>
      <c r="T12" s="128">
        <v>143.72242</v>
      </c>
      <c r="U12" s="128">
        <v>856.13878999999997</v>
      </c>
      <c r="V12" s="128">
        <v>848.106762</v>
      </c>
      <c r="W12" s="128">
        <v>640</v>
      </c>
      <c r="X12" s="127" t="s">
        <v>52</v>
      </c>
      <c r="Y12" s="129">
        <v>45918</v>
      </c>
      <c r="Z12" s="127" t="s">
        <v>53</v>
      </c>
      <c r="AA12" s="127" t="s">
        <v>54</v>
      </c>
    </row>
    <row r="13" spans="1:27" ht="15.75" x14ac:dyDescent="0.25">
      <c r="A13" s="127" t="s">
        <v>62</v>
      </c>
      <c r="B13" s="127" t="s">
        <v>63</v>
      </c>
      <c r="C13" s="127" t="s">
        <v>64</v>
      </c>
      <c r="D13" s="127" t="s">
        <v>65</v>
      </c>
      <c r="E13" s="127" t="s">
        <v>66</v>
      </c>
      <c r="F13" s="127" t="s">
        <v>49</v>
      </c>
      <c r="G13" s="127" t="s">
        <v>67</v>
      </c>
      <c r="H13" s="127" t="s">
        <v>51</v>
      </c>
      <c r="I13" s="128">
        <v>2.488099735549679</v>
      </c>
      <c r="J13" s="128">
        <v>237.29893200000001</v>
      </c>
      <c r="K13" s="128">
        <v>52.946618999999998</v>
      </c>
      <c r="L13" s="128">
        <v>53.679715000000002</v>
      </c>
      <c r="M13" s="128">
        <v>46.882562</v>
      </c>
      <c r="N13" s="128">
        <v>86.448398999999995</v>
      </c>
      <c r="O13" s="128">
        <v>303.09964500000001</v>
      </c>
      <c r="P13" s="128">
        <v>0.11387899999999999</v>
      </c>
      <c r="Q13" s="128">
        <v>1.145907</v>
      </c>
      <c r="R13" s="128">
        <v>50.391458999999998</v>
      </c>
      <c r="S13" s="128">
        <v>24.889679999999998</v>
      </c>
      <c r="T13" s="128">
        <v>38.345196000000001</v>
      </c>
      <c r="U13" s="128">
        <v>277.18149399999999</v>
      </c>
      <c r="V13" s="128">
        <v>281.64768700000002</v>
      </c>
      <c r="W13" s="127"/>
      <c r="X13" s="127" t="s">
        <v>52</v>
      </c>
      <c r="Y13" s="129">
        <v>45715</v>
      </c>
      <c r="Z13" s="127" t="s">
        <v>53</v>
      </c>
      <c r="AA13" s="127" t="s">
        <v>54</v>
      </c>
    </row>
    <row r="14" spans="1:27" ht="15.75" x14ac:dyDescent="0.25">
      <c r="A14" s="127" t="s">
        <v>68</v>
      </c>
      <c r="B14" s="127" t="s">
        <v>69</v>
      </c>
      <c r="C14" s="127" t="s">
        <v>70</v>
      </c>
      <c r="D14" s="127" t="s">
        <v>65</v>
      </c>
      <c r="E14" s="127" t="s">
        <v>71</v>
      </c>
      <c r="F14" s="127" t="s">
        <v>49</v>
      </c>
      <c r="G14" s="127" t="s">
        <v>72</v>
      </c>
      <c r="H14" s="127" t="s">
        <v>51</v>
      </c>
      <c r="I14" s="128">
        <v>57.528628495339547</v>
      </c>
      <c r="J14" s="128">
        <v>66.946618999999998</v>
      </c>
      <c r="K14" s="128">
        <v>7.2597860000000001</v>
      </c>
      <c r="L14" s="128">
        <v>27.804269999999999</v>
      </c>
      <c r="M14" s="128">
        <v>16.480426999999999</v>
      </c>
      <c r="N14" s="128">
        <v>38.814946999999997</v>
      </c>
      <c r="O14" s="128">
        <v>79.637011000000001</v>
      </c>
      <c r="P14" s="128">
        <v>0</v>
      </c>
      <c r="Q14" s="128">
        <v>3.9146E-2</v>
      </c>
      <c r="R14" s="128">
        <v>31.967972</v>
      </c>
      <c r="S14" s="128">
        <v>13.733096</v>
      </c>
      <c r="T14" s="128">
        <v>2.8612099999999998</v>
      </c>
      <c r="U14" s="128">
        <v>69.928825000000003</v>
      </c>
      <c r="V14" s="128">
        <v>92.434163999999996</v>
      </c>
      <c r="W14" s="128">
        <v>170</v>
      </c>
      <c r="X14" s="127" t="s">
        <v>52</v>
      </c>
      <c r="Y14" s="129">
        <v>46107</v>
      </c>
      <c r="Z14" s="127" t="s">
        <v>53</v>
      </c>
      <c r="AA14" s="127" t="s">
        <v>54</v>
      </c>
    </row>
    <row r="15" spans="1:27" ht="15.75" x14ac:dyDescent="0.25">
      <c r="A15" s="127" t="s">
        <v>73</v>
      </c>
      <c r="B15" s="127" t="s">
        <v>74</v>
      </c>
      <c r="C15" s="127" t="s">
        <v>75</v>
      </c>
      <c r="D15" s="127" t="s">
        <v>76</v>
      </c>
      <c r="E15" s="127" t="s">
        <v>77</v>
      </c>
      <c r="F15" s="127" t="s">
        <v>78</v>
      </c>
      <c r="G15" s="127" t="s">
        <v>79</v>
      </c>
      <c r="H15" s="127" t="s">
        <v>51</v>
      </c>
      <c r="I15" s="128">
        <v>4.7692307692307692</v>
      </c>
      <c r="J15" s="128">
        <v>1.469751</v>
      </c>
      <c r="K15" s="128">
        <v>0.22775799999999999</v>
      </c>
      <c r="L15" s="128">
        <v>0.12099600000000001</v>
      </c>
      <c r="M15" s="128">
        <v>0.34163700000000002</v>
      </c>
      <c r="N15" s="128">
        <v>0.52313200000000004</v>
      </c>
      <c r="O15" s="128">
        <v>1.6334519999999999</v>
      </c>
      <c r="P15" s="128">
        <v>0</v>
      </c>
      <c r="Q15" s="128">
        <v>3.5590000000000001E-3</v>
      </c>
      <c r="R15" s="128">
        <v>0.46975099999999997</v>
      </c>
      <c r="S15" s="128">
        <v>9.6085000000000004E-2</v>
      </c>
      <c r="T15" s="128">
        <v>0.106762</v>
      </c>
      <c r="U15" s="128">
        <v>1.487544</v>
      </c>
      <c r="V15" s="128">
        <v>1.2135229999999999</v>
      </c>
      <c r="W15" s="127"/>
      <c r="X15" s="127" t="s">
        <v>80</v>
      </c>
      <c r="Y15" s="129">
        <v>45380</v>
      </c>
      <c r="Z15" s="127" t="s">
        <v>81</v>
      </c>
      <c r="AA15" s="127" t="s">
        <v>54</v>
      </c>
    </row>
    <row r="16" spans="1:27" ht="15.75" x14ac:dyDescent="0.25">
      <c r="A16" s="127" t="s">
        <v>82</v>
      </c>
      <c r="B16" s="127" t="s">
        <v>83</v>
      </c>
      <c r="C16" s="127" t="s">
        <v>84</v>
      </c>
      <c r="D16" s="127" t="s">
        <v>85</v>
      </c>
      <c r="E16" s="127" t="s">
        <v>86</v>
      </c>
      <c r="F16" s="127" t="s">
        <v>87</v>
      </c>
      <c r="G16" s="127" t="s">
        <v>88</v>
      </c>
      <c r="H16" s="127" t="s">
        <v>51</v>
      </c>
      <c r="I16" s="128">
        <v>27.785048961069979</v>
      </c>
      <c r="J16" s="128">
        <v>578.27046299999995</v>
      </c>
      <c r="K16" s="128">
        <v>144.87544500000001</v>
      </c>
      <c r="L16" s="128">
        <v>115.82918100000001</v>
      </c>
      <c r="M16" s="128">
        <v>124.46619200000001</v>
      </c>
      <c r="N16" s="128">
        <v>231.23131699999999</v>
      </c>
      <c r="O16" s="128">
        <v>732.20996400000001</v>
      </c>
      <c r="P16" s="128">
        <v>0</v>
      </c>
      <c r="Q16" s="128">
        <v>0</v>
      </c>
      <c r="R16" s="128">
        <v>151.939502</v>
      </c>
      <c r="S16" s="128">
        <v>57.366548000000002</v>
      </c>
      <c r="T16" s="128">
        <v>89.241992999999994</v>
      </c>
      <c r="U16" s="128">
        <v>664.893238</v>
      </c>
      <c r="V16" s="128">
        <v>475.47686800000002</v>
      </c>
      <c r="W16" s="127"/>
      <c r="X16" s="127"/>
      <c r="Y16" s="130"/>
      <c r="Z16" s="127"/>
      <c r="AA16" s="127"/>
    </row>
    <row r="17" spans="1:27" ht="15.75" x14ac:dyDescent="0.25">
      <c r="A17" s="127" t="s">
        <v>89</v>
      </c>
      <c r="B17" s="127" t="s">
        <v>90</v>
      </c>
      <c r="C17" s="127" t="s">
        <v>91</v>
      </c>
      <c r="D17" s="127" t="s">
        <v>85</v>
      </c>
      <c r="E17" s="127" t="s">
        <v>92</v>
      </c>
      <c r="F17" s="127" t="s">
        <v>87</v>
      </c>
      <c r="G17" s="127" t="s">
        <v>72</v>
      </c>
      <c r="H17" s="127" t="s">
        <v>93</v>
      </c>
      <c r="I17" s="128">
        <v>49.971604938271597</v>
      </c>
      <c r="J17" s="128">
        <v>80.362988999999999</v>
      </c>
      <c r="K17" s="128">
        <v>29.423487999999999</v>
      </c>
      <c r="L17" s="128">
        <v>95.245552000000004</v>
      </c>
      <c r="M17" s="128">
        <v>65.686832999999993</v>
      </c>
      <c r="N17" s="128">
        <v>62.882562</v>
      </c>
      <c r="O17" s="128">
        <v>104.793594</v>
      </c>
      <c r="P17" s="128">
        <v>27.715302000000001</v>
      </c>
      <c r="Q17" s="128">
        <v>75.327402000000006</v>
      </c>
      <c r="R17" s="128">
        <v>58.007117000000001</v>
      </c>
      <c r="S17" s="128">
        <v>25.302491</v>
      </c>
      <c r="T17" s="128">
        <v>29.733096</v>
      </c>
      <c r="U17" s="128">
        <v>157.67615699999999</v>
      </c>
      <c r="V17" s="128">
        <v>159.43060500000001</v>
      </c>
      <c r="W17" s="128">
        <v>250</v>
      </c>
      <c r="X17" s="127" t="s">
        <v>52</v>
      </c>
      <c r="Y17" s="129" t="s">
        <v>94</v>
      </c>
      <c r="Z17" s="127" t="s">
        <v>95</v>
      </c>
      <c r="AA17" s="127" t="s">
        <v>54</v>
      </c>
    </row>
    <row r="18" spans="1:27" ht="15.75" x14ac:dyDescent="0.25">
      <c r="A18" s="127" t="s">
        <v>96</v>
      </c>
      <c r="B18" s="127" t="s">
        <v>97</v>
      </c>
      <c r="C18" s="127" t="s">
        <v>98</v>
      </c>
      <c r="D18" s="127" t="s">
        <v>99</v>
      </c>
      <c r="E18" s="127" t="s">
        <v>100</v>
      </c>
      <c r="F18" s="127" t="s">
        <v>49</v>
      </c>
      <c r="G18" s="127" t="s">
        <v>79</v>
      </c>
      <c r="H18" s="127" t="s">
        <v>93</v>
      </c>
      <c r="I18" s="128">
        <v>2.4623608017817369</v>
      </c>
      <c r="J18" s="128">
        <v>16.459074999999999</v>
      </c>
      <c r="K18" s="128">
        <v>1.3807830000000001</v>
      </c>
      <c r="L18" s="128">
        <v>0.91814899999999999</v>
      </c>
      <c r="M18" s="128">
        <v>1.049822</v>
      </c>
      <c r="N18" s="128">
        <v>2.0676160000000001</v>
      </c>
      <c r="O18" s="128">
        <v>16.249110000000002</v>
      </c>
      <c r="P18" s="128">
        <v>4.6262999999999999E-2</v>
      </c>
      <c r="Q18" s="128">
        <v>1.4448399999999999</v>
      </c>
      <c r="R18" s="128">
        <v>0.59786499999999998</v>
      </c>
      <c r="S18" s="128">
        <v>0.79003599999999996</v>
      </c>
      <c r="T18" s="128">
        <v>1.4626330000000001</v>
      </c>
      <c r="U18" s="128">
        <v>16.957294999999998</v>
      </c>
      <c r="V18" s="128">
        <v>9.6014230000000005</v>
      </c>
      <c r="W18" s="127"/>
      <c r="X18" s="127" t="s">
        <v>52</v>
      </c>
      <c r="Y18" s="129">
        <v>46163</v>
      </c>
      <c r="Z18" s="127" t="s">
        <v>101</v>
      </c>
      <c r="AA18" s="127" t="s">
        <v>102</v>
      </c>
    </row>
    <row r="19" spans="1:27" ht="15.75" x14ac:dyDescent="0.25">
      <c r="A19" s="127" t="s">
        <v>103</v>
      </c>
      <c r="B19" s="127" t="s">
        <v>104</v>
      </c>
      <c r="C19" s="127" t="s">
        <v>105</v>
      </c>
      <c r="D19" s="127" t="s">
        <v>106</v>
      </c>
      <c r="E19" s="127" t="s">
        <v>107</v>
      </c>
      <c r="F19" s="127" t="s">
        <v>108</v>
      </c>
      <c r="G19" s="127" t="s">
        <v>109</v>
      </c>
      <c r="H19" s="127" t="s">
        <v>51</v>
      </c>
      <c r="I19" s="128">
        <v>72.688311688311686</v>
      </c>
      <c r="J19" s="128">
        <v>77.370107000000004</v>
      </c>
      <c r="K19" s="128">
        <v>13.476868</v>
      </c>
      <c r="L19" s="128">
        <v>43.494661999999998</v>
      </c>
      <c r="M19" s="128">
        <v>22.676157</v>
      </c>
      <c r="N19" s="128">
        <v>27.907473</v>
      </c>
      <c r="O19" s="128">
        <v>129.02135200000001</v>
      </c>
      <c r="P19" s="128">
        <v>0</v>
      </c>
      <c r="Q19" s="128">
        <v>8.8968000000000005E-2</v>
      </c>
      <c r="R19" s="128">
        <v>17.167259999999999</v>
      </c>
      <c r="S19" s="128">
        <v>7.1387900000000002</v>
      </c>
      <c r="T19" s="128">
        <v>11.868327000000001</v>
      </c>
      <c r="U19" s="128">
        <v>120.843416</v>
      </c>
      <c r="V19" s="128">
        <v>64.619217000000006</v>
      </c>
      <c r="W19" s="127"/>
      <c r="X19" s="127" t="s">
        <v>110</v>
      </c>
      <c r="Y19" s="129">
        <v>46212</v>
      </c>
      <c r="Z19" s="127" t="s">
        <v>111</v>
      </c>
      <c r="AA19" s="127" t="s">
        <v>54</v>
      </c>
    </row>
    <row r="20" spans="1:27" ht="15.75" x14ac:dyDescent="0.25">
      <c r="A20" s="127" t="s">
        <v>112</v>
      </c>
      <c r="B20" s="127" t="s">
        <v>113</v>
      </c>
      <c r="C20" s="127" t="s">
        <v>114</v>
      </c>
      <c r="D20" s="127" t="s">
        <v>115</v>
      </c>
      <c r="E20" s="127" t="s">
        <v>116</v>
      </c>
      <c r="F20" s="127" t="s">
        <v>117</v>
      </c>
      <c r="G20" s="127" t="s">
        <v>50</v>
      </c>
      <c r="H20" s="127" t="s">
        <v>93</v>
      </c>
      <c r="I20" s="128">
        <v>21.36207609594706</v>
      </c>
      <c r="J20" s="128">
        <v>584.03558699999996</v>
      </c>
      <c r="K20" s="128">
        <v>108.50533799999999</v>
      </c>
      <c r="L20" s="128">
        <v>187.060498</v>
      </c>
      <c r="M20" s="128">
        <v>97.373665000000003</v>
      </c>
      <c r="N20" s="128">
        <v>196.29537300000001</v>
      </c>
      <c r="O20" s="128">
        <v>625.41637000000003</v>
      </c>
      <c r="P20" s="128">
        <v>6.6548040000000004</v>
      </c>
      <c r="Q20" s="128">
        <v>148.608541</v>
      </c>
      <c r="R20" s="128">
        <v>116.626335</v>
      </c>
      <c r="S20" s="128">
        <v>85.508897000000005</v>
      </c>
      <c r="T20" s="128">
        <v>116.59074699999999</v>
      </c>
      <c r="U20" s="128">
        <v>658.24910999999997</v>
      </c>
      <c r="V20" s="128">
        <v>635.52669000000003</v>
      </c>
      <c r="W20" s="128">
        <v>750</v>
      </c>
      <c r="X20" s="127" t="s">
        <v>52</v>
      </c>
      <c r="Y20" s="129">
        <v>45638</v>
      </c>
      <c r="Z20" s="127" t="s">
        <v>53</v>
      </c>
      <c r="AA20" s="127" t="s">
        <v>54</v>
      </c>
    </row>
    <row r="21" spans="1:27" ht="15.75" x14ac:dyDescent="0.25">
      <c r="A21" s="127" t="s">
        <v>118</v>
      </c>
      <c r="B21" s="127" t="s">
        <v>119</v>
      </c>
      <c r="C21" s="127" t="s">
        <v>120</v>
      </c>
      <c r="D21" s="127" t="s">
        <v>121</v>
      </c>
      <c r="E21" s="127" t="s">
        <v>122</v>
      </c>
      <c r="F21" s="127" t="s">
        <v>123</v>
      </c>
      <c r="G21" s="127" t="s">
        <v>79</v>
      </c>
      <c r="H21" s="127" t="s">
        <v>93</v>
      </c>
      <c r="I21" s="128">
        <v>57.849947534102832</v>
      </c>
      <c r="J21" s="128">
        <v>100</v>
      </c>
      <c r="K21" s="128">
        <v>28.092527</v>
      </c>
      <c r="L21" s="128">
        <v>43.213523000000002</v>
      </c>
      <c r="M21" s="128">
        <v>39.896796999999999</v>
      </c>
      <c r="N21" s="128">
        <v>77.032027999999997</v>
      </c>
      <c r="O21" s="128">
        <v>126.92526700000001</v>
      </c>
      <c r="P21" s="128">
        <v>1.327402</v>
      </c>
      <c r="Q21" s="128">
        <v>5.9181489999999997</v>
      </c>
      <c r="R21" s="128">
        <v>36.900356000000002</v>
      </c>
      <c r="S21" s="128">
        <v>32.483986000000002</v>
      </c>
      <c r="T21" s="128">
        <v>33.982205999999998</v>
      </c>
      <c r="U21" s="128">
        <v>107.836299</v>
      </c>
      <c r="V21" s="128">
        <v>134.40213499999999</v>
      </c>
      <c r="W21" s="127"/>
      <c r="X21" s="127" t="s">
        <v>52</v>
      </c>
      <c r="Y21" s="129">
        <v>45617</v>
      </c>
      <c r="Z21" s="127" t="s">
        <v>95</v>
      </c>
      <c r="AA21" s="127" t="s">
        <v>54</v>
      </c>
    </row>
    <row r="22" spans="1:27" ht="15.75" x14ac:dyDescent="0.25">
      <c r="A22" s="127" t="s">
        <v>124</v>
      </c>
      <c r="B22" s="127" t="s">
        <v>125</v>
      </c>
      <c r="C22" s="127" t="s">
        <v>126</v>
      </c>
      <c r="D22" s="127" t="s">
        <v>127</v>
      </c>
      <c r="E22" s="127" t="s">
        <v>128</v>
      </c>
      <c r="F22" s="127" t="s">
        <v>129</v>
      </c>
      <c r="G22" s="127" t="s">
        <v>109</v>
      </c>
      <c r="H22" s="127" t="s">
        <v>93</v>
      </c>
      <c r="I22" s="128">
        <v>42.877714285714283</v>
      </c>
      <c r="J22" s="128">
        <v>117.27758</v>
      </c>
      <c r="K22" s="128">
        <v>31.526689999999999</v>
      </c>
      <c r="L22" s="128">
        <v>0.51601399999999997</v>
      </c>
      <c r="M22" s="128">
        <v>0.96085399999999999</v>
      </c>
      <c r="N22" s="128">
        <v>28.989322999999999</v>
      </c>
      <c r="O22" s="128">
        <v>121.291815</v>
      </c>
      <c r="P22" s="128">
        <v>0</v>
      </c>
      <c r="Q22" s="128">
        <v>0</v>
      </c>
      <c r="R22" s="128">
        <v>4.1530250000000004</v>
      </c>
      <c r="S22" s="128">
        <v>13.13879</v>
      </c>
      <c r="T22" s="128">
        <v>25.679715000000002</v>
      </c>
      <c r="U22" s="128">
        <v>107.30960899999999</v>
      </c>
      <c r="V22" s="128">
        <v>68.370107000000004</v>
      </c>
      <c r="W22" s="127"/>
      <c r="X22" s="127"/>
      <c r="Y22" s="130"/>
      <c r="Z22" s="127"/>
      <c r="AA22" s="127"/>
    </row>
    <row r="23" spans="1:27" ht="15.75" x14ac:dyDescent="0.25">
      <c r="A23" s="127" t="s">
        <v>130</v>
      </c>
      <c r="B23" s="127" t="s">
        <v>131</v>
      </c>
      <c r="C23" s="127" t="s">
        <v>132</v>
      </c>
      <c r="D23" s="127" t="s">
        <v>85</v>
      </c>
      <c r="E23" s="127" t="s">
        <v>133</v>
      </c>
      <c r="F23" s="127" t="s">
        <v>87</v>
      </c>
      <c r="G23" s="127" t="s">
        <v>72</v>
      </c>
      <c r="H23" s="127" t="s">
        <v>93</v>
      </c>
      <c r="I23" s="128">
        <v>1.1140684410646391</v>
      </c>
      <c r="J23" s="128">
        <v>1.419929</v>
      </c>
      <c r="K23" s="128">
        <v>0.40213500000000002</v>
      </c>
      <c r="L23" s="128">
        <v>0.76868300000000001</v>
      </c>
      <c r="M23" s="128">
        <v>0.64412800000000003</v>
      </c>
      <c r="N23" s="128">
        <v>0.46975099999999997</v>
      </c>
      <c r="O23" s="128">
        <v>2.1103209999999999</v>
      </c>
      <c r="P23" s="128">
        <v>6.0498000000000003E-2</v>
      </c>
      <c r="Q23" s="128">
        <v>0.594306</v>
      </c>
      <c r="R23" s="128">
        <v>0.345196</v>
      </c>
      <c r="S23" s="128">
        <v>0.156584</v>
      </c>
      <c r="T23" s="128">
        <v>0.156584</v>
      </c>
      <c r="U23" s="128">
        <v>2.5765120000000001</v>
      </c>
      <c r="V23" s="128">
        <v>1.5551600000000001</v>
      </c>
      <c r="W23" s="127"/>
      <c r="X23" s="127"/>
      <c r="Y23" s="130"/>
      <c r="Z23" s="127"/>
      <c r="AA23" s="127"/>
    </row>
    <row r="24" spans="1:27" ht="15.75" x14ac:dyDescent="0.25">
      <c r="A24" s="127" t="s">
        <v>134</v>
      </c>
      <c r="B24" s="127" t="s">
        <v>135</v>
      </c>
      <c r="C24" s="127" t="s">
        <v>136</v>
      </c>
      <c r="D24" s="127" t="s">
        <v>85</v>
      </c>
      <c r="E24" s="127" t="s">
        <v>137</v>
      </c>
      <c r="F24" s="127" t="s">
        <v>87</v>
      </c>
      <c r="G24" s="127" t="s">
        <v>61</v>
      </c>
      <c r="H24" s="127" t="s">
        <v>93</v>
      </c>
      <c r="I24" s="128">
        <v>23.890860573715809</v>
      </c>
      <c r="J24" s="128">
        <v>509.25978600000002</v>
      </c>
      <c r="K24" s="128">
        <v>157.04982200000001</v>
      </c>
      <c r="L24" s="128">
        <v>9.3060500000000008</v>
      </c>
      <c r="M24" s="128">
        <v>4.2384339999999998</v>
      </c>
      <c r="N24" s="128">
        <v>51.338078000000003</v>
      </c>
      <c r="O24" s="128">
        <v>525.07117400000004</v>
      </c>
      <c r="P24" s="128">
        <v>6.6014229999999996</v>
      </c>
      <c r="Q24" s="128">
        <v>96.843416000000005</v>
      </c>
      <c r="R24" s="128">
        <v>12.75089</v>
      </c>
      <c r="S24" s="128">
        <v>23.266904</v>
      </c>
      <c r="T24" s="128">
        <v>52.163701000000003</v>
      </c>
      <c r="U24" s="128">
        <v>591.67259799999999</v>
      </c>
      <c r="V24" s="128">
        <v>311.83274</v>
      </c>
      <c r="W24" s="128">
        <v>700</v>
      </c>
      <c r="X24" s="127" t="s">
        <v>52</v>
      </c>
      <c r="Y24" s="129" t="s">
        <v>138</v>
      </c>
      <c r="Z24" s="127" t="s">
        <v>53</v>
      </c>
      <c r="AA24" s="127" t="s">
        <v>54</v>
      </c>
    </row>
    <row r="25" spans="1:27" ht="15.75" x14ac:dyDescent="0.25">
      <c r="A25" s="127" t="s">
        <v>139</v>
      </c>
      <c r="B25" s="127" t="s">
        <v>140</v>
      </c>
      <c r="C25" s="127" t="s">
        <v>141</v>
      </c>
      <c r="D25" s="127" t="s">
        <v>127</v>
      </c>
      <c r="E25" s="127" t="s">
        <v>142</v>
      </c>
      <c r="F25" s="127" t="s">
        <v>143</v>
      </c>
      <c r="G25" s="127" t="s">
        <v>144</v>
      </c>
      <c r="H25" s="127" t="s">
        <v>51</v>
      </c>
      <c r="I25" s="128">
        <v>37.657649424236887</v>
      </c>
      <c r="J25" s="128">
        <v>557.82918099999995</v>
      </c>
      <c r="K25" s="128">
        <v>43.498221000000001</v>
      </c>
      <c r="L25" s="128">
        <v>37.494661999999998</v>
      </c>
      <c r="M25" s="128">
        <v>59.612099999999998</v>
      </c>
      <c r="N25" s="128">
        <v>108.74377200000001</v>
      </c>
      <c r="O25" s="128">
        <v>589.68683299999998</v>
      </c>
      <c r="P25" s="128">
        <v>0</v>
      </c>
      <c r="Q25" s="128">
        <v>3.5590000000000001E-3</v>
      </c>
      <c r="R25" s="128">
        <v>82.822063999999997</v>
      </c>
      <c r="S25" s="128">
        <v>23.537367</v>
      </c>
      <c r="T25" s="128">
        <v>37.982205999999998</v>
      </c>
      <c r="U25" s="128">
        <v>554.09252700000002</v>
      </c>
      <c r="V25" s="128">
        <v>271.69039099999998</v>
      </c>
      <c r="W25" s="128">
        <v>650</v>
      </c>
      <c r="X25" s="127" t="s">
        <v>52</v>
      </c>
      <c r="Y25" s="129">
        <v>46198</v>
      </c>
      <c r="Z25" s="127" t="s">
        <v>53</v>
      </c>
      <c r="AA25" s="127" t="s">
        <v>54</v>
      </c>
    </row>
    <row r="26" spans="1:27" ht="15.75" x14ac:dyDescent="0.25">
      <c r="A26" s="127" t="s">
        <v>145</v>
      </c>
      <c r="B26" s="127" t="s">
        <v>146</v>
      </c>
      <c r="C26" s="127" t="s">
        <v>147</v>
      </c>
      <c r="D26" s="127" t="s">
        <v>148</v>
      </c>
      <c r="E26" s="127" t="s">
        <v>149</v>
      </c>
      <c r="F26" s="127" t="s">
        <v>150</v>
      </c>
      <c r="G26" s="127" t="s">
        <v>79</v>
      </c>
      <c r="H26" s="127" t="s">
        <v>93</v>
      </c>
      <c r="I26" s="128">
        <v>25.65986394557823</v>
      </c>
      <c r="J26" s="128">
        <v>5.5231320000000004</v>
      </c>
      <c r="K26" s="128">
        <v>3.4661919999999999</v>
      </c>
      <c r="L26" s="128">
        <v>2.3843420000000002</v>
      </c>
      <c r="M26" s="128">
        <v>0.65124599999999999</v>
      </c>
      <c r="N26" s="128">
        <v>1.3167260000000001</v>
      </c>
      <c r="O26" s="128">
        <v>10.074733</v>
      </c>
      <c r="P26" s="128">
        <v>7.4732999999999994E-2</v>
      </c>
      <c r="Q26" s="128">
        <v>0.55871899999999997</v>
      </c>
      <c r="R26" s="128">
        <v>1.0889679999999999</v>
      </c>
      <c r="S26" s="128">
        <v>0.69394999999999996</v>
      </c>
      <c r="T26" s="128">
        <v>0.97508899999999998</v>
      </c>
      <c r="U26" s="128">
        <v>9.2669040000000003</v>
      </c>
      <c r="V26" s="128">
        <v>5.4875439999999998</v>
      </c>
      <c r="W26" s="127"/>
      <c r="X26" s="127"/>
      <c r="Y26" s="130" t="s">
        <v>94</v>
      </c>
      <c r="Z26" s="127"/>
      <c r="AA26" s="127"/>
    </row>
    <row r="27" spans="1:27" ht="15.75" x14ac:dyDescent="0.25">
      <c r="A27" s="127" t="s">
        <v>151</v>
      </c>
      <c r="B27" s="127" t="s">
        <v>152</v>
      </c>
      <c r="C27" s="127" t="s">
        <v>153</v>
      </c>
      <c r="D27" s="127" t="s">
        <v>154</v>
      </c>
      <c r="E27" s="127" t="s">
        <v>155</v>
      </c>
      <c r="F27" s="127" t="s">
        <v>156</v>
      </c>
      <c r="G27" s="127" t="s">
        <v>79</v>
      </c>
      <c r="H27" s="127" t="s">
        <v>93</v>
      </c>
      <c r="I27" s="128">
        <v>34.986762075134173</v>
      </c>
      <c r="J27" s="128">
        <v>186.28469799999999</v>
      </c>
      <c r="K27" s="128">
        <v>114.17081899999999</v>
      </c>
      <c r="L27" s="128">
        <v>32.772241999999999</v>
      </c>
      <c r="M27" s="128">
        <v>20.306049999999999</v>
      </c>
      <c r="N27" s="128">
        <v>56.729537000000001</v>
      </c>
      <c r="O27" s="128">
        <v>272.69394999999997</v>
      </c>
      <c r="P27" s="128">
        <v>3.658363</v>
      </c>
      <c r="Q27" s="128">
        <v>20.451957</v>
      </c>
      <c r="R27" s="128">
        <v>25.202846999999998</v>
      </c>
      <c r="S27" s="128">
        <v>18.960854000000001</v>
      </c>
      <c r="T27" s="128">
        <v>39.943060000000003</v>
      </c>
      <c r="U27" s="128">
        <v>269.42704600000002</v>
      </c>
      <c r="V27" s="128">
        <v>209.87544500000001</v>
      </c>
      <c r="W27" s="127"/>
      <c r="X27" s="127" t="s">
        <v>80</v>
      </c>
      <c r="Y27" s="129" t="s">
        <v>138</v>
      </c>
      <c r="Z27" s="127" t="s">
        <v>81</v>
      </c>
      <c r="AA27" s="127" t="s">
        <v>102</v>
      </c>
    </row>
    <row r="28" spans="1:27" ht="15.75" x14ac:dyDescent="0.25">
      <c r="A28" s="127" t="s">
        <v>157</v>
      </c>
      <c r="B28" s="127" t="s">
        <v>158</v>
      </c>
      <c r="C28" s="127" t="s">
        <v>159</v>
      </c>
      <c r="D28" s="127" t="s">
        <v>160</v>
      </c>
      <c r="E28" s="127" t="s">
        <v>161</v>
      </c>
      <c r="F28" s="127" t="s">
        <v>162</v>
      </c>
      <c r="G28" s="127" t="s">
        <v>79</v>
      </c>
      <c r="H28" s="127" t="s">
        <v>93</v>
      </c>
      <c r="I28" s="128">
        <v>3.0960000000000001</v>
      </c>
      <c r="J28" s="128">
        <v>0.73309599999999997</v>
      </c>
      <c r="K28" s="128">
        <v>0.50177899999999998</v>
      </c>
      <c r="L28" s="128">
        <v>0.11387899999999999</v>
      </c>
      <c r="M28" s="128">
        <v>0.106762</v>
      </c>
      <c r="N28" s="128">
        <v>0.377224</v>
      </c>
      <c r="O28" s="128">
        <v>1.0106759999999999</v>
      </c>
      <c r="P28" s="128">
        <v>1.4234999999999999E-2</v>
      </c>
      <c r="Q28" s="128">
        <v>5.3380999999999998E-2</v>
      </c>
      <c r="R28" s="128">
        <v>0.26690399999999997</v>
      </c>
      <c r="S28" s="128">
        <v>0.28825600000000001</v>
      </c>
      <c r="T28" s="128">
        <v>0.19928799999999999</v>
      </c>
      <c r="U28" s="128">
        <v>0.70106800000000002</v>
      </c>
      <c r="V28" s="128">
        <v>0.92882600000000004</v>
      </c>
      <c r="W28" s="127"/>
      <c r="X28" s="127"/>
      <c r="Y28" s="130"/>
      <c r="Z28" s="127"/>
      <c r="AA28" s="127"/>
    </row>
    <row r="29" spans="1:27" ht="15.75" x14ac:dyDescent="0.25">
      <c r="A29" s="127" t="s">
        <v>163</v>
      </c>
      <c r="B29" s="127" t="s">
        <v>164</v>
      </c>
      <c r="C29" s="127" t="s">
        <v>165</v>
      </c>
      <c r="D29" s="127" t="s">
        <v>166</v>
      </c>
      <c r="E29" s="127" t="s">
        <v>167</v>
      </c>
      <c r="F29" s="127" t="s">
        <v>156</v>
      </c>
      <c r="G29" s="127" t="s">
        <v>72</v>
      </c>
      <c r="H29" s="127" t="s">
        <v>93</v>
      </c>
      <c r="I29" s="128">
        <v>49.676729559748431</v>
      </c>
      <c r="J29" s="128">
        <v>145.87900400000001</v>
      </c>
      <c r="K29" s="128">
        <v>12.975089000000001</v>
      </c>
      <c r="L29" s="128">
        <v>7.6192169999999999</v>
      </c>
      <c r="M29" s="128">
        <v>7.622776</v>
      </c>
      <c r="N29" s="128">
        <v>16.907473</v>
      </c>
      <c r="O29" s="128">
        <v>137.03914599999999</v>
      </c>
      <c r="P29" s="128">
        <v>0.23843400000000001</v>
      </c>
      <c r="Q29" s="128">
        <v>19.911031999999999</v>
      </c>
      <c r="R29" s="128">
        <v>9.2277579999999997</v>
      </c>
      <c r="S29" s="128">
        <v>3.6049820000000001</v>
      </c>
      <c r="T29" s="128">
        <v>10.800712000000001</v>
      </c>
      <c r="U29" s="128">
        <v>150.46263400000001</v>
      </c>
      <c r="V29" s="128">
        <v>97.818505000000002</v>
      </c>
      <c r="W29" s="128">
        <v>200</v>
      </c>
      <c r="X29" s="127" t="s">
        <v>52</v>
      </c>
      <c r="Y29" s="129" t="s">
        <v>94</v>
      </c>
      <c r="Z29" s="127" t="s">
        <v>95</v>
      </c>
      <c r="AA29" s="127" t="s">
        <v>54</v>
      </c>
    </row>
    <row r="30" spans="1:27" ht="15.75" x14ac:dyDescent="0.25">
      <c r="A30" s="127" t="s">
        <v>168</v>
      </c>
      <c r="B30" s="127" t="s">
        <v>169</v>
      </c>
      <c r="C30" s="127" t="s">
        <v>170</v>
      </c>
      <c r="D30" s="127" t="s">
        <v>58</v>
      </c>
      <c r="E30" s="127" t="s">
        <v>171</v>
      </c>
      <c r="F30" s="127" t="s">
        <v>172</v>
      </c>
      <c r="G30" s="127" t="s">
        <v>61</v>
      </c>
      <c r="H30" s="127" t="s">
        <v>93</v>
      </c>
      <c r="I30" s="128">
        <v>56.940216141641763</v>
      </c>
      <c r="J30" s="128">
        <v>791.78647699999999</v>
      </c>
      <c r="K30" s="128">
        <v>172.15658400000001</v>
      </c>
      <c r="L30" s="128">
        <v>199.73665500000001</v>
      </c>
      <c r="M30" s="128">
        <v>261.97508900000003</v>
      </c>
      <c r="N30" s="128">
        <v>331.58007099999998</v>
      </c>
      <c r="O30" s="128">
        <v>896.24199299999998</v>
      </c>
      <c r="P30" s="128">
        <v>36.405693999999997</v>
      </c>
      <c r="Q30" s="128">
        <v>161.42704599999999</v>
      </c>
      <c r="R30" s="128">
        <v>281.21352300000001</v>
      </c>
      <c r="S30" s="128">
        <v>90.875444999999999</v>
      </c>
      <c r="T30" s="128">
        <v>105.754448</v>
      </c>
      <c r="U30" s="128">
        <v>947.81138799999997</v>
      </c>
      <c r="V30" s="128">
        <v>514.93594299999995</v>
      </c>
      <c r="W30" s="128">
        <v>2560</v>
      </c>
      <c r="X30" s="127" t="s">
        <v>173</v>
      </c>
      <c r="Y30" s="131">
        <v>45765</v>
      </c>
      <c r="Z30" s="127" t="s">
        <v>95</v>
      </c>
      <c r="AA30" s="127" t="s">
        <v>54</v>
      </c>
    </row>
    <row r="31" spans="1:27" ht="15.75" x14ac:dyDescent="0.25">
      <c r="A31" s="127" t="s">
        <v>174</v>
      </c>
      <c r="B31" s="127" t="s">
        <v>175</v>
      </c>
      <c r="C31" s="127" t="s">
        <v>176</v>
      </c>
      <c r="D31" s="127" t="s">
        <v>177</v>
      </c>
      <c r="E31" s="127" t="s">
        <v>178</v>
      </c>
      <c r="F31" s="127" t="s">
        <v>179</v>
      </c>
      <c r="G31" s="127" t="s">
        <v>79</v>
      </c>
      <c r="H31" s="127" t="s">
        <v>93</v>
      </c>
      <c r="I31" s="128">
        <v>13.466858789625361</v>
      </c>
      <c r="J31" s="128">
        <v>37.871886000000003</v>
      </c>
      <c r="K31" s="128">
        <v>3.9857649999999998</v>
      </c>
      <c r="L31" s="128">
        <v>4.7081850000000003</v>
      </c>
      <c r="M31" s="128">
        <v>4.6619219999999997</v>
      </c>
      <c r="N31" s="128">
        <v>8.0355869999999996</v>
      </c>
      <c r="O31" s="128">
        <v>28.380783000000001</v>
      </c>
      <c r="P31" s="128">
        <v>1.4661919999999999</v>
      </c>
      <c r="Q31" s="128">
        <v>13.345196</v>
      </c>
      <c r="R31" s="128">
        <v>6.3985770000000004</v>
      </c>
      <c r="S31" s="128">
        <v>2.0427050000000002</v>
      </c>
      <c r="T31" s="128">
        <v>6.2811389999999996</v>
      </c>
      <c r="U31" s="128">
        <v>36.505338000000002</v>
      </c>
      <c r="V31" s="128">
        <v>23.576512000000001</v>
      </c>
      <c r="W31" s="127"/>
      <c r="X31" s="127" t="s">
        <v>110</v>
      </c>
      <c r="Y31" s="129">
        <v>46205</v>
      </c>
      <c r="Z31" s="127" t="s">
        <v>111</v>
      </c>
      <c r="AA31" s="127" t="s">
        <v>54</v>
      </c>
    </row>
    <row r="32" spans="1:27" ht="15.75" x14ac:dyDescent="0.25">
      <c r="A32" s="127" t="s">
        <v>180</v>
      </c>
      <c r="B32" s="127" t="s">
        <v>181</v>
      </c>
      <c r="C32" s="127" t="s">
        <v>182</v>
      </c>
      <c r="D32" s="127" t="s">
        <v>121</v>
      </c>
      <c r="E32" s="127" t="s">
        <v>183</v>
      </c>
      <c r="F32" s="127" t="s">
        <v>123</v>
      </c>
      <c r="G32" s="127" t="s">
        <v>79</v>
      </c>
      <c r="H32" s="127" t="s">
        <v>93</v>
      </c>
      <c r="I32" s="128">
        <v>76.380382775119614</v>
      </c>
      <c r="J32" s="128">
        <v>99.661922000000004</v>
      </c>
      <c r="K32" s="128">
        <v>20.996441000000001</v>
      </c>
      <c r="L32" s="128">
        <v>10.86121</v>
      </c>
      <c r="M32" s="128">
        <v>7.8825620000000001</v>
      </c>
      <c r="N32" s="128">
        <v>20.775801000000001</v>
      </c>
      <c r="O32" s="128">
        <v>85.843416000000005</v>
      </c>
      <c r="P32" s="128">
        <v>3.3024909999999998</v>
      </c>
      <c r="Q32" s="128">
        <v>29.480426999999999</v>
      </c>
      <c r="R32" s="128">
        <v>9.0889679999999995</v>
      </c>
      <c r="S32" s="128">
        <v>7.8327400000000003</v>
      </c>
      <c r="T32" s="128">
        <v>14.882562</v>
      </c>
      <c r="U32" s="128">
        <v>107.597865</v>
      </c>
      <c r="V32" s="128">
        <v>75.320284999999998</v>
      </c>
      <c r="W32" s="127"/>
      <c r="X32" s="127" t="s">
        <v>110</v>
      </c>
      <c r="Y32" s="129">
        <v>46212</v>
      </c>
      <c r="Z32" s="127" t="s">
        <v>111</v>
      </c>
      <c r="AA32" s="127" t="s">
        <v>54</v>
      </c>
    </row>
    <row r="33" spans="1:27" ht="15.75" x14ac:dyDescent="0.25">
      <c r="A33" s="127" t="s">
        <v>184</v>
      </c>
      <c r="B33" s="127" t="s">
        <v>185</v>
      </c>
      <c r="C33" s="127" t="s">
        <v>186</v>
      </c>
      <c r="D33" s="127" t="s">
        <v>187</v>
      </c>
      <c r="E33" s="127" t="s">
        <v>188</v>
      </c>
      <c r="F33" s="127" t="s">
        <v>189</v>
      </c>
      <c r="G33" s="127" t="s">
        <v>50</v>
      </c>
      <c r="H33" s="127" t="s">
        <v>93</v>
      </c>
      <c r="I33" s="128">
        <v>37.434233449477347</v>
      </c>
      <c r="J33" s="128">
        <v>140.53736699999999</v>
      </c>
      <c r="K33" s="128">
        <v>83.790036000000001</v>
      </c>
      <c r="L33" s="128">
        <v>51.120995999999998</v>
      </c>
      <c r="M33" s="128">
        <v>59.672598000000001</v>
      </c>
      <c r="N33" s="128">
        <v>99.313167000000007</v>
      </c>
      <c r="O33" s="128">
        <v>209.15658400000001</v>
      </c>
      <c r="P33" s="128">
        <v>3.9537369999999998</v>
      </c>
      <c r="Q33" s="128">
        <v>22.697509</v>
      </c>
      <c r="R33" s="128">
        <v>71.039146000000002</v>
      </c>
      <c r="S33" s="128">
        <v>27.405694</v>
      </c>
      <c r="T33" s="128">
        <v>27.587188999999999</v>
      </c>
      <c r="U33" s="128">
        <v>209.08896799999999</v>
      </c>
      <c r="V33" s="128">
        <v>178.67971499999999</v>
      </c>
      <c r="W33" s="128">
        <v>224</v>
      </c>
      <c r="X33" s="127" t="s">
        <v>52</v>
      </c>
      <c r="Y33" s="129">
        <v>46065</v>
      </c>
      <c r="Z33" s="127" t="s">
        <v>53</v>
      </c>
      <c r="AA33" s="127" t="s">
        <v>54</v>
      </c>
    </row>
    <row r="34" spans="1:27" ht="15.75" x14ac:dyDescent="0.25">
      <c r="A34" s="127" t="s">
        <v>190</v>
      </c>
      <c r="B34" s="127" t="s">
        <v>191</v>
      </c>
      <c r="C34" s="127" t="s">
        <v>192</v>
      </c>
      <c r="D34" s="127" t="s">
        <v>193</v>
      </c>
      <c r="E34" s="127" t="s">
        <v>194</v>
      </c>
      <c r="F34" s="127" t="s">
        <v>162</v>
      </c>
      <c r="G34" s="127" t="s">
        <v>79</v>
      </c>
      <c r="H34" s="127" t="s">
        <v>51</v>
      </c>
      <c r="I34" s="128">
        <v>4.7120418848167542</v>
      </c>
      <c r="J34" s="128">
        <v>2.0498219999999998</v>
      </c>
      <c r="K34" s="128">
        <v>1.3950180000000001</v>
      </c>
      <c r="L34" s="128">
        <v>0.37366500000000002</v>
      </c>
      <c r="M34" s="128">
        <v>0.24911</v>
      </c>
      <c r="N34" s="128">
        <v>0.56583600000000001</v>
      </c>
      <c r="O34" s="128">
        <v>3.4306049999999999</v>
      </c>
      <c r="P34" s="128">
        <v>0</v>
      </c>
      <c r="Q34" s="128">
        <v>7.1174000000000001E-2</v>
      </c>
      <c r="R34" s="128">
        <v>0.32028499999999999</v>
      </c>
      <c r="S34" s="128">
        <v>0.20640600000000001</v>
      </c>
      <c r="T34" s="128">
        <v>0.55515999999999999</v>
      </c>
      <c r="U34" s="128">
        <v>2.9857649999999998</v>
      </c>
      <c r="V34" s="128">
        <v>2.686833</v>
      </c>
      <c r="W34" s="127"/>
      <c r="X34" s="127" t="s">
        <v>52</v>
      </c>
      <c r="Y34" s="129" t="s">
        <v>138</v>
      </c>
      <c r="Z34" s="127" t="s">
        <v>95</v>
      </c>
      <c r="AA34" s="127" t="s">
        <v>102</v>
      </c>
    </row>
    <row r="35" spans="1:27" ht="15.75" x14ac:dyDescent="0.25">
      <c r="A35" s="127" t="s">
        <v>195</v>
      </c>
      <c r="B35" s="127" t="s">
        <v>196</v>
      </c>
      <c r="C35" s="127" t="s">
        <v>197</v>
      </c>
      <c r="D35" s="127" t="s">
        <v>198</v>
      </c>
      <c r="E35" s="127" t="s">
        <v>199</v>
      </c>
      <c r="F35" s="127" t="s">
        <v>150</v>
      </c>
      <c r="G35" s="127" t="s">
        <v>79</v>
      </c>
      <c r="H35" s="127" t="s">
        <v>93</v>
      </c>
      <c r="I35" s="128">
        <v>19.762331838565022</v>
      </c>
      <c r="J35" s="128">
        <v>8.5266900000000003</v>
      </c>
      <c r="K35" s="128">
        <v>1.3060499999999999</v>
      </c>
      <c r="L35" s="128">
        <v>3.2099639999999998</v>
      </c>
      <c r="M35" s="128">
        <v>2.2953739999999998</v>
      </c>
      <c r="N35" s="128">
        <v>4.7900359999999997</v>
      </c>
      <c r="O35" s="128">
        <v>8.6832740000000008</v>
      </c>
      <c r="P35" s="128">
        <v>0.64056900000000006</v>
      </c>
      <c r="Q35" s="128">
        <v>1.224199</v>
      </c>
      <c r="R35" s="128">
        <v>1.7366550000000001</v>
      </c>
      <c r="S35" s="128">
        <v>2.0782919999999998</v>
      </c>
      <c r="T35" s="128">
        <v>2.8505340000000001</v>
      </c>
      <c r="U35" s="128">
        <v>8.6725980000000007</v>
      </c>
      <c r="V35" s="128">
        <v>10.583629999999999</v>
      </c>
      <c r="W35" s="127"/>
      <c r="X35" s="127"/>
      <c r="Y35" s="130"/>
      <c r="Z35" s="127"/>
      <c r="AA35" s="127"/>
    </row>
    <row r="36" spans="1:27" ht="15.75" x14ac:dyDescent="0.25">
      <c r="A36" s="127" t="s">
        <v>200</v>
      </c>
      <c r="B36" s="127" t="s">
        <v>201</v>
      </c>
      <c r="C36" s="127" t="s">
        <v>202</v>
      </c>
      <c r="D36" s="127" t="s">
        <v>203</v>
      </c>
      <c r="E36" s="127" t="s">
        <v>204</v>
      </c>
      <c r="F36" s="127" t="s">
        <v>205</v>
      </c>
      <c r="G36" s="127" t="s">
        <v>206</v>
      </c>
      <c r="H36" s="127" t="s">
        <v>51</v>
      </c>
      <c r="I36" s="128">
        <v>32.6641963872163</v>
      </c>
      <c r="J36" s="128">
        <v>187.669039</v>
      </c>
      <c r="K36" s="128">
        <v>68.281138999999996</v>
      </c>
      <c r="L36" s="128">
        <v>127.83274</v>
      </c>
      <c r="M36" s="128">
        <v>115.24199299999999</v>
      </c>
      <c r="N36" s="128">
        <v>180.54092499999999</v>
      </c>
      <c r="O36" s="128">
        <v>318.04626300000001</v>
      </c>
      <c r="P36" s="128">
        <v>1.0676E-2</v>
      </c>
      <c r="Q36" s="128">
        <v>0.42704599999999998</v>
      </c>
      <c r="R36" s="128">
        <v>94.967972000000003</v>
      </c>
      <c r="S36" s="128">
        <v>54.338078000000003</v>
      </c>
      <c r="T36" s="128">
        <v>87.772242000000006</v>
      </c>
      <c r="U36" s="128">
        <v>261.946619</v>
      </c>
      <c r="V36" s="128">
        <v>308.81850500000002</v>
      </c>
      <c r="W36" s="127"/>
      <c r="X36" s="127" t="s">
        <v>52</v>
      </c>
      <c r="Y36" s="129">
        <v>45638</v>
      </c>
      <c r="Z36" s="127" t="s">
        <v>95</v>
      </c>
      <c r="AA36" s="127" t="s">
        <v>54</v>
      </c>
    </row>
    <row r="37" spans="1:27" ht="15.75" x14ac:dyDescent="0.25">
      <c r="A37" s="127" t="s">
        <v>207</v>
      </c>
      <c r="B37" s="127" t="s">
        <v>208</v>
      </c>
      <c r="C37" s="127" t="s">
        <v>209</v>
      </c>
      <c r="D37" s="127" t="s">
        <v>65</v>
      </c>
      <c r="E37" s="127" t="s">
        <v>210</v>
      </c>
      <c r="F37" s="127" t="s">
        <v>49</v>
      </c>
      <c r="G37" s="127" t="s">
        <v>72</v>
      </c>
      <c r="H37" s="127" t="s">
        <v>51</v>
      </c>
      <c r="I37" s="128">
        <v>18.455742945326278</v>
      </c>
      <c r="J37" s="128">
        <v>683.72953700000005</v>
      </c>
      <c r="K37" s="128">
        <v>150.02847</v>
      </c>
      <c r="L37" s="128">
        <v>174.34163699999999</v>
      </c>
      <c r="M37" s="128">
        <v>160.50533799999999</v>
      </c>
      <c r="N37" s="128">
        <v>237.530249</v>
      </c>
      <c r="O37" s="128">
        <v>930.80071199999998</v>
      </c>
      <c r="P37" s="128">
        <v>1.4234999999999999E-2</v>
      </c>
      <c r="Q37" s="128">
        <v>0.25978600000000002</v>
      </c>
      <c r="R37" s="128">
        <v>144.64412799999999</v>
      </c>
      <c r="S37" s="128">
        <v>73.476867999999996</v>
      </c>
      <c r="T37" s="128">
        <v>100.679715</v>
      </c>
      <c r="U37" s="128">
        <v>849.80426999999997</v>
      </c>
      <c r="V37" s="128">
        <v>826.40569400000004</v>
      </c>
      <c r="W37" s="128">
        <v>1170</v>
      </c>
      <c r="X37" s="127" t="s">
        <v>52</v>
      </c>
      <c r="Y37" s="129">
        <v>46030</v>
      </c>
      <c r="Z37" s="127" t="s">
        <v>53</v>
      </c>
      <c r="AA37" s="127" t="s">
        <v>54</v>
      </c>
    </row>
    <row r="38" spans="1:27" ht="15.75" x14ac:dyDescent="0.25">
      <c r="A38" s="127" t="s">
        <v>211</v>
      </c>
      <c r="B38" s="127" t="s">
        <v>212</v>
      </c>
      <c r="C38" s="127" t="s">
        <v>213</v>
      </c>
      <c r="D38" s="127" t="s">
        <v>58</v>
      </c>
      <c r="E38" s="127" t="s">
        <v>214</v>
      </c>
      <c r="F38" s="127" t="s">
        <v>172</v>
      </c>
      <c r="G38" s="127" t="s">
        <v>61</v>
      </c>
      <c r="H38" s="127" t="s">
        <v>93</v>
      </c>
      <c r="I38" s="128">
        <v>25.4169741697417</v>
      </c>
      <c r="J38" s="128">
        <v>42.661921999999997</v>
      </c>
      <c r="K38" s="128">
        <v>13.540925</v>
      </c>
      <c r="L38" s="128">
        <v>13.669039</v>
      </c>
      <c r="M38" s="128">
        <v>13.854093000000001</v>
      </c>
      <c r="N38" s="128">
        <v>16.629892999999999</v>
      </c>
      <c r="O38" s="128">
        <v>67.096085000000002</v>
      </c>
      <c r="P38" s="128">
        <v>0</v>
      </c>
      <c r="Q38" s="128">
        <v>0</v>
      </c>
      <c r="R38" s="128">
        <v>12.017794</v>
      </c>
      <c r="S38" s="128">
        <v>6.501779</v>
      </c>
      <c r="T38" s="128">
        <v>8.3202850000000002</v>
      </c>
      <c r="U38" s="128">
        <v>56.886121000000003</v>
      </c>
      <c r="V38" s="128">
        <v>20.494662000000002</v>
      </c>
      <c r="W38" s="128">
        <v>560</v>
      </c>
      <c r="X38" s="127" t="s">
        <v>173</v>
      </c>
      <c r="Y38" s="131">
        <v>46099</v>
      </c>
      <c r="Z38" s="127" t="s">
        <v>53</v>
      </c>
      <c r="AA38" s="127" t="s">
        <v>54</v>
      </c>
    </row>
    <row r="39" spans="1:27" ht="15.75" x14ac:dyDescent="0.25">
      <c r="A39" s="127" t="s">
        <v>215</v>
      </c>
      <c r="B39" s="127" t="s">
        <v>216</v>
      </c>
      <c r="C39" s="127" t="s">
        <v>217</v>
      </c>
      <c r="D39" s="127" t="s">
        <v>85</v>
      </c>
      <c r="E39" s="127" t="s">
        <v>218</v>
      </c>
      <c r="F39" s="127" t="s">
        <v>87</v>
      </c>
      <c r="G39" s="127" t="s">
        <v>72</v>
      </c>
      <c r="H39" s="127" t="s">
        <v>93</v>
      </c>
      <c r="I39" s="128">
        <v>1.697632058287796</v>
      </c>
      <c r="J39" s="128">
        <v>2.775801</v>
      </c>
      <c r="K39" s="128">
        <v>0.30604999999999999</v>
      </c>
      <c r="L39" s="128">
        <v>0.142349</v>
      </c>
      <c r="M39" s="128">
        <v>0.16725999999999999</v>
      </c>
      <c r="N39" s="128">
        <v>0.37366500000000002</v>
      </c>
      <c r="O39" s="128">
        <v>2.8540930000000002</v>
      </c>
      <c r="P39" s="128">
        <v>3.2028000000000001E-2</v>
      </c>
      <c r="Q39" s="128">
        <v>0.13167300000000001</v>
      </c>
      <c r="R39" s="128">
        <v>0.103203</v>
      </c>
      <c r="S39" s="128">
        <v>0.25266899999999998</v>
      </c>
      <c r="T39" s="128">
        <v>0.359431</v>
      </c>
      <c r="U39" s="128">
        <v>2.6761569999999999</v>
      </c>
      <c r="V39" s="128">
        <v>1.1850529999999999</v>
      </c>
      <c r="W39" s="127"/>
      <c r="X39" s="127"/>
      <c r="Y39" s="130"/>
      <c r="Z39" s="127"/>
      <c r="AA39" s="127"/>
    </row>
    <row r="40" spans="1:27" ht="15.75" x14ac:dyDescent="0.25">
      <c r="A40" s="127" t="s">
        <v>219</v>
      </c>
      <c r="B40" s="127" t="s">
        <v>220</v>
      </c>
      <c r="C40" s="127" t="s">
        <v>221</v>
      </c>
      <c r="D40" s="127" t="s">
        <v>222</v>
      </c>
      <c r="E40" s="127" t="s">
        <v>223</v>
      </c>
      <c r="F40" s="127" t="s">
        <v>123</v>
      </c>
      <c r="G40" s="127" t="s">
        <v>72</v>
      </c>
      <c r="H40" s="127" t="s">
        <v>93</v>
      </c>
      <c r="I40" s="128">
        <v>23.136976047904191</v>
      </c>
      <c r="J40" s="128">
        <v>54.971530000000001</v>
      </c>
      <c r="K40" s="128">
        <v>19.024910999999999</v>
      </c>
      <c r="L40" s="128">
        <v>18.423487999999999</v>
      </c>
      <c r="M40" s="128">
        <v>20.911031999999999</v>
      </c>
      <c r="N40" s="128">
        <v>33.846975</v>
      </c>
      <c r="O40" s="128">
        <v>61.747331000000003</v>
      </c>
      <c r="P40" s="128">
        <v>3.0249109999999999</v>
      </c>
      <c r="Q40" s="128">
        <v>14.711743999999999</v>
      </c>
      <c r="R40" s="128">
        <v>17.580071</v>
      </c>
      <c r="S40" s="128">
        <v>8.8469750000000005</v>
      </c>
      <c r="T40" s="128">
        <v>21.081851</v>
      </c>
      <c r="U40" s="128">
        <v>65.822063999999997</v>
      </c>
      <c r="V40" s="128">
        <v>73.921707999999995</v>
      </c>
      <c r="W40" s="127"/>
      <c r="X40" s="127" t="s">
        <v>52</v>
      </c>
      <c r="Y40" s="129">
        <v>45729</v>
      </c>
      <c r="Z40" s="127" t="s">
        <v>95</v>
      </c>
      <c r="AA40" s="127" t="s">
        <v>54</v>
      </c>
    </row>
    <row r="41" spans="1:27" ht="15.75" x14ac:dyDescent="0.25">
      <c r="A41" s="127" t="s">
        <v>224</v>
      </c>
      <c r="B41" s="127" t="s">
        <v>225</v>
      </c>
      <c r="C41" s="127" t="s">
        <v>226</v>
      </c>
      <c r="D41" s="127" t="s">
        <v>166</v>
      </c>
      <c r="E41" s="127" t="s">
        <v>227</v>
      </c>
      <c r="F41" s="127" t="s">
        <v>156</v>
      </c>
      <c r="G41" s="127" t="s">
        <v>72</v>
      </c>
      <c r="H41" s="127" t="s">
        <v>51</v>
      </c>
      <c r="I41" s="128">
        <v>63.97687861271676</v>
      </c>
      <c r="J41" s="128">
        <v>24.451957</v>
      </c>
      <c r="K41" s="128">
        <v>2.1316730000000002</v>
      </c>
      <c r="L41" s="128">
        <v>5.441281</v>
      </c>
      <c r="M41" s="128">
        <v>1.498221</v>
      </c>
      <c r="N41" s="128">
        <v>4.4234879999999999</v>
      </c>
      <c r="O41" s="128">
        <v>29.099644000000001</v>
      </c>
      <c r="P41" s="128">
        <v>0</v>
      </c>
      <c r="Q41" s="128">
        <v>0</v>
      </c>
      <c r="R41" s="128">
        <v>1.86121</v>
      </c>
      <c r="S41" s="128">
        <v>1.754448</v>
      </c>
      <c r="T41" s="128">
        <v>2.6334520000000001</v>
      </c>
      <c r="U41" s="128">
        <v>27.274021000000001</v>
      </c>
      <c r="V41" s="128">
        <v>24.626335000000001</v>
      </c>
      <c r="W41" s="127"/>
      <c r="X41" s="127" t="s">
        <v>52</v>
      </c>
      <c r="Y41" s="129" t="s">
        <v>138</v>
      </c>
      <c r="Z41" s="127" t="s">
        <v>95</v>
      </c>
      <c r="AA41" s="127" t="s">
        <v>54</v>
      </c>
    </row>
    <row r="42" spans="1:27" ht="15.75" x14ac:dyDescent="0.25">
      <c r="A42" s="127" t="s">
        <v>228</v>
      </c>
      <c r="B42" s="127" t="s">
        <v>229</v>
      </c>
      <c r="C42" s="127" t="s">
        <v>230</v>
      </c>
      <c r="D42" s="127" t="s">
        <v>121</v>
      </c>
      <c r="E42" s="127" t="s">
        <v>231</v>
      </c>
      <c r="F42" s="127" t="s">
        <v>123</v>
      </c>
      <c r="G42" s="127" t="s">
        <v>79</v>
      </c>
      <c r="H42" s="127" t="s">
        <v>93</v>
      </c>
      <c r="I42" s="128">
        <v>45.738589211618248</v>
      </c>
      <c r="J42" s="128">
        <v>70.779358999999999</v>
      </c>
      <c r="K42" s="128">
        <v>11.060498000000001</v>
      </c>
      <c r="L42" s="128">
        <v>19.846975</v>
      </c>
      <c r="M42" s="128">
        <v>13.558719</v>
      </c>
      <c r="N42" s="128">
        <v>20.526689999999999</v>
      </c>
      <c r="O42" s="128">
        <v>92.686832999999993</v>
      </c>
      <c r="P42" s="128">
        <v>0.57295399999999996</v>
      </c>
      <c r="Q42" s="128">
        <v>1.4590749999999999</v>
      </c>
      <c r="R42" s="128">
        <v>13.989324</v>
      </c>
      <c r="S42" s="128">
        <v>6.7864769999999996</v>
      </c>
      <c r="T42" s="128">
        <v>9.9039149999999996</v>
      </c>
      <c r="U42" s="128">
        <v>84.565837000000002</v>
      </c>
      <c r="V42" s="128">
        <v>63.551600999999998</v>
      </c>
      <c r="W42" s="127"/>
      <c r="X42" s="127"/>
      <c r="Y42" s="130" t="s">
        <v>138</v>
      </c>
      <c r="Z42" s="127"/>
      <c r="AA42" s="127"/>
    </row>
    <row r="43" spans="1:27" ht="15.75" x14ac:dyDescent="0.25">
      <c r="A43" s="127" t="s">
        <v>232</v>
      </c>
      <c r="B43" s="127" t="s">
        <v>233</v>
      </c>
      <c r="C43" s="127" t="s">
        <v>234</v>
      </c>
      <c r="D43" s="127" t="s">
        <v>235</v>
      </c>
      <c r="E43" s="127" t="s">
        <v>236</v>
      </c>
      <c r="F43" s="127" t="s">
        <v>237</v>
      </c>
      <c r="G43" s="127" t="s">
        <v>72</v>
      </c>
      <c r="H43" s="127" t="s">
        <v>51</v>
      </c>
      <c r="I43" s="128">
        <v>69.630630630630634</v>
      </c>
      <c r="J43" s="128">
        <v>152.252669</v>
      </c>
      <c r="K43" s="128">
        <v>40.565835999999997</v>
      </c>
      <c r="L43" s="128">
        <v>21.508897000000001</v>
      </c>
      <c r="M43" s="128">
        <v>8.1530249999999995</v>
      </c>
      <c r="N43" s="128">
        <v>27.626335000000001</v>
      </c>
      <c r="O43" s="128">
        <v>194.85409300000001</v>
      </c>
      <c r="P43" s="128">
        <v>0</v>
      </c>
      <c r="Q43" s="128">
        <v>0</v>
      </c>
      <c r="R43" s="128">
        <v>9.8042700000000007</v>
      </c>
      <c r="S43" s="128">
        <v>7.0427049999999998</v>
      </c>
      <c r="T43" s="128">
        <v>22.708185</v>
      </c>
      <c r="U43" s="128">
        <v>182.92526699999999</v>
      </c>
      <c r="V43" s="128">
        <v>77.836298999999997</v>
      </c>
      <c r="W43" s="128">
        <v>314</v>
      </c>
      <c r="X43" s="127" t="s">
        <v>52</v>
      </c>
      <c r="Y43" s="129">
        <v>45715</v>
      </c>
      <c r="Z43" s="127" t="s">
        <v>53</v>
      </c>
      <c r="AA43" s="127" t="s">
        <v>54</v>
      </c>
    </row>
    <row r="44" spans="1:27" ht="15.75" x14ac:dyDescent="0.25">
      <c r="A44" s="127" t="s">
        <v>238</v>
      </c>
      <c r="B44" s="127" t="s">
        <v>239</v>
      </c>
      <c r="C44" s="127" t="s">
        <v>240</v>
      </c>
      <c r="D44" s="127" t="s">
        <v>241</v>
      </c>
      <c r="E44" s="127" t="s">
        <v>242</v>
      </c>
      <c r="F44" s="127" t="s">
        <v>117</v>
      </c>
      <c r="G44" s="127" t="s">
        <v>79</v>
      </c>
      <c r="H44" s="127" t="s">
        <v>51</v>
      </c>
      <c r="I44" s="128">
        <v>43.369533527696802</v>
      </c>
      <c r="J44" s="128">
        <v>443.20996400000001</v>
      </c>
      <c r="K44" s="128">
        <v>47.067616000000001</v>
      </c>
      <c r="L44" s="128">
        <v>58.569395</v>
      </c>
      <c r="M44" s="128">
        <v>46.427045999999997</v>
      </c>
      <c r="N44" s="128">
        <v>105.91103200000001</v>
      </c>
      <c r="O44" s="128">
        <v>489.36298900000003</v>
      </c>
      <c r="P44" s="128">
        <v>0</v>
      </c>
      <c r="Q44" s="128">
        <v>0</v>
      </c>
      <c r="R44" s="128">
        <v>55.064056999999998</v>
      </c>
      <c r="S44" s="128">
        <v>32.562277999999999</v>
      </c>
      <c r="T44" s="128">
        <v>42.430605</v>
      </c>
      <c r="U44" s="128">
        <v>465.217082</v>
      </c>
      <c r="V44" s="128">
        <v>290.69039099999998</v>
      </c>
      <c r="W44" s="127"/>
      <c r="X44" s="127" t="s">
        <v>173</v>
      </c>
      <c r="Y44" s="131">
        <v>45687</v>
      </c>
      <c r="Z44" s="127" t="s">
        <v>111</v>
      </c>
      <c r="AA44" s="127" t="s">
        <v>54</v>
      </c>
    </row>
    <row r="45" spans="1:27" ht="15.75" x14ac:dyDescent="0.25">
      <c r="A45" s="127" t="s">
        <v>243</v>
      </c>
      <c r="B45" s="127" t="s">
        <v>244</v>
      </c>
      <c r="C45" s="127" t="s">
        <v>245</v>
      </c>
      <c r="D45" s="127" t="s">
        <v>246</v>
      </c>
      <c r="E45" s="127" t="s">
        <v>247</v>
      </c>
      <c r="F45" s="127" t="s">
        <v>123</v>
      </c>
      <c r="G45" s="127" t="s">
        <v>79</v>
      </c>
      <c r="H45" s="127" t="s">
        <v>93</v>
      </c>
      <c r="I45" s="128">
        <v>57.259067357512947</v>
      </c>
      <c r="J45" s="128">
        <v>51.683273999999997</v>
      </c>
      <c r="K45" s="128">
        <v>13.441281</v>
      </c>
      <c r="L45" s="128">
        <v>8.4839859999999998</v>
      </c>
      <c r="M45" s="128">
        <v>6.4839859999999998</v>
      </c>
      <c r="N45" s="128">
        <v>4.4448400000000001</v>
      </c>
      <c r="O45" s="128">
        <v>22.021352</v>
      </c>
      <c r="P45" s="128">
        <v>5.0355869999999996</v>
      </c>
      <c r="Q45" s="128">
        <v>48.590747</v>
      </c>
      <c r="R45" s="128">
        <v>8.3701070000000009</v>
      </c>
      <c r="S45" s="128">
        <v>3.4804270000000002</v>
      </c>
      <c r="T45" s="128">
        <v>6.8718859999999999</v>
      </c>
      <c r="U45" s="128">
        <v>61.370106999999997</v>
      </c>
      <c r="V45" s="128">
        <v>51.039146000000002</v>
      </c>
      <c r="W45" s="127"/>
      <c r="X45" s="127"/>
      <c r="Y45" s="130" t="s">
        <v>138</v>
      </c>
      <c r="Z45" s="127"/>
      <c r="AA45" s="127"/>
    </row>
    <row r="46" spans="1:27" ht="15.75" x14ac:dyDescent="0.25">
      <c r="A46" s="127" t="s">
        <v>248</v>
      </c>
      <c r="B46" s="127" t="s">
        <v>249</v>
      </c>
      <c r="C46" s="127" t="s">
        <v>250</v>
      </c>
      <c r="D46" s="127" t="s">
        <v>246</v>
      </c>
      <c r="E46" s="127" t="s">
        <v>251</v>
      </c>
      <c r="F46" s="127" t="s">
        <v>123</v>
      </c>
      <c r="G46" s="127" t="s">
        <v>79</v>
      </c>
      <c r="H46" s="127" t="s">
        <v>93</v>
      </c>
      <c r="I46" s="128">
        <v>10.70087402049427</v>
      </c>
      <c r="J46" s="128">
        <v>165.48754400000001</v>
      </c>
      <c r="K46" s="128">
        <v>28.053381000000002</v>
      </c>
      <c r="L46" s="128">
        <v>32.220641000000001</v>
      </c>
      <c r="M46" s="128">
        <v>21.320284999999998</v>
      </c>
      <c r="N46" s="128">
        <v>45.725979000000002</v>
      </c>
      <c r="O46" s="128">
        <v>200.20284699999999</v>
      </c>
      <c r="P46" s="128">
        <v>0.117438</v>
      </c>
      <c r="Q46" s="128">
        <v>1.035587</v>
      </c>
      <c r="R46" s="128">
        <v>20.120996000000002</v>
      </c>
      <c r="S46" s="128">
        <v>14.174377</v>
      </c>
      <c r="T46" s="128">
        <v>28.747330999999999</v>
      </c>
      <c r="U46" s="128">
        <v>184.03914599999999</v>
      </c>
      <c r="V46" s="128">
        <v>128.53380799999999</v>
      </c>
      <c r="W46" s="127"/>
      <c r="X46" s="127" t="s">
        <v>52</v>
      </c>
      <c r="Y46" s="129" t="s">
        <v>138</v>
      </c>
      <c r="Z46" s="127" t="s">
        <v>95</v>
      </c>
      <c r="AA46" s="127" t="s">
        <v>54</v>
      </c>
    </row>
    <row r="47" spans="1:27" ht="15.75" x14ac:dyDescent="0.25">
      <c r="A47" s="127" t="s">
        <v>252</v>
      </c>
      <c r="B47" s="127" t="s">
        <v>253</v>
      </c>
      <c r="C47" s="127" t="s">
        <v>254</v>
      </c>
      <c r="D47" s="127" t="s">
        <v>177</v>
      </c>
      <c r="E47" s="127" t="s">
        <v>255</v>
      </c>
      <c r="F47" s="127" t="s">
        <v>179</v>
      </c>
      <c r="G47" s="127" t="s">
        <v>79</v>
      </c>
      <c r="H47" s="127" t="s">
        <v>93</v>
      </c>
      <c r="I47" s="128">
        <v>48.678571428571431</v>
      </c>
      <c r="J47" s="128">
        <v>22.330960999999999</v>
      </c>
      <c r="K47" s="128">
        <v>17.804269999999999</v>
      </c>
      <c r="L47" s="128">
        <v>19.523132</v>
      </c>
      <c r="M47" s="128">
        <v>30.718861</v>
      </c>
      <c r="N47" s="128">
        <v>46.572954000000003</v>
      </c>
      <c r="O47" s="128">
        <v>34.782918000000002</v>
      </c>
      <c r="P47" s="128">
        <v>1.516014</v>
      </c>
      <c r="Q47" s="128">
        <v>7.5053380000000001</v>
      </c>
      <c r="R47" s="128">
        <v>41.569395</v>
      </c>
      <c r="S47" s="128">
        <v>7.4590750000000003</v>
      </c>
      <c r="T47" s="128">
        <v>4.6512460000000004</v>
      </c>
      <c r="U47" s="128">
        <v>36.697508999999997</v>
      </c>
      <c r="V47" s="128">
        <v>50.587189000000002</v>
      </c>
      <c r="W47" s="127"/>
      <c r="X47" s="127" t="s">
        <v>52</v>
      </c>
      <c r="Y47" s="129">
        <v>45673</v>
      </c>
      <c r="Z47" s="127" t="s">
        <v>95</v>
      </c>
      <c r="AA47" s="127" t="s">
        <v>54</v>
      </c>
    </row>
    <row r="48" spans="1:27" ht="15.75" x14ac:dyDescent="0.25">
      <c r="A48" s="127" t="s">
        <v>256</v>
      </c>
      <c r="B48" s="127" t="s">
        <v>257</v>
      </c>
      <c r="C48" s="127" t="s">
        <v>258</v>
      </c>
      <c r="D48" s="127" t="s">
        <v>115</v>
      </c>
      <c r="E48" s="127" t="s">
        <v>259</v>
      </c>
      <c r="F48" s="127" t="s">
        <v>260</v>
      </c>
      <c r="G48" s="127" t="s">
        <v>79</v>
      </c>
      <c r="H48" s="127" t="s">
        <v>93</v>
      </c>
      <c r="I48" s="128">
        <v>5.7739950779327316</v>
      </c>
      <c r="J48" s="128">
        <v>33.124555000000001</v>
      </c>
      <c r="K48" s="128">
        <v>6.6512460000000004</v>
      </c>
      <c r="L48" s="128">
        <v>6.747331</v>
      </c>
      <c r="M48" s="128">
        <v>3.907473</v>
      </c>
      <c r="N48" s="128">
        <v>6.7793590000000004</v>
      </c>
      <c r="O48" s="128">
        <v>29.423487999999999</v>
      </c>
      <c r="P48" s="128">
        <v>2.8718859999999999</v>
      </c>
      <c r="Q48" s="128">
        <v>11.355872</v>
      </c>
      <c r="R48" s="128">
        <v>4.3807830000000001</v>
      </c>
      <c r="S48" s="128">
        <v>3.8078289999999999</v>
      </c>
      <c r="T48" s="128">
        <v>4.5480429999999998</v>
      </c>
      <c r="U48" s="128">
        <v>37.693950000000001</v>
      </c>
      <c r="V48" s="128">
        <v>38.224198999999999</v>
      </c>
      <c r="W48" s="127"/>
      <c r="X48" s="127" t="s">
        <v>110</v>
      </c>
      <c r="Y48" s="129">
        <v>45694</v>
      </c>
      <c r="Z48" s="127" t="s">
        <v>95</v>
      </c>
      <c r="AA48" s="127" t="s">
        <v>54</v>
      </c>
    </row>
    <row r="49" spans="1:27" ht="15.75" x14ac:dyDescent="0.25">
      <c r="A49" s="127" t="s">
        <v>261</v>
      </c>
      <c r="B49" s="127" t="s">
        <v>262</v>
      </c>
      <c r="C49" s="127" t="s">
        <v>263</v>
      </c>
      <c r="D49" s="127" t="s">
        <v>85</v>
      </c>
      <c r="E49" s="127" t="s">
        <v>264</v>
      </c>
      <c r="F49" s="127" t="s">
        <v>87</v>
      </c>
      <c r="G49" s="127" t="s">
        <v>72</v>
      </c>
      <c r="H49" s="127" t="s">
        <v>93</v>
      </c>
      <c r="I49" s="128">
        <v>4.7832193014043929</v>
      </c>
      <c r="J49" s="128">
        <v>28.750889999999998</v>
      </c>
      <c r="K49" s="128">
        <v>6.9217079999999997</v>
      </c>
      <c r="L49" s="128">
        <v>5.9822059999999997</v>
      </c>
      <c r="M49" s="128">
        <v>5.4021350000000004</v>
      </c>
      <c r="N49" s="128">
        <v>10.857651000000001</v>
      </c>
      <c r="O49" s="128">
        <v>29.587188999999999</v>
      </c>
      <c r="P49" s="128">
        <v>0.51245600000000002</v>
      </c>
      <c r="Q49" s="128">
        <v>6.0996439999999996</v>
      </c>
      <c r="R49" s="128">
        <v>5.0177940000000003</v>
      </c>
      <c r="S49" s="128">
        <v>6.4626330000000003</v>
      </c>
      <c r="T49" s="128">
        <v>9.0391460000000006</v>
      </c>
      <c r="U49" s="128">
        <v>26.537365999999999</v>
      </c>
      <c r="V49" s="128">
        <v>21.217082000000001</v>
      </c>
      <c r="W49" s="127"/>
      <c r="X49" s="127" t="s">
        <v>52</v>
      </c>
      <c r="Y49" s="129">
        <v>45631</v>
      </c>
      <c r="Z49" s="127" t="s">
        <v>95</v>
      </c>
      <c r="AA49" s="127" t="s">
        <v>54</v>
      </c>
    </row>
    <row r="50" spans="1:27" ht="15.75" x14ac:dyDescent="0.25">
      <c r="A50" s="127" t="s">
        <v>265</v>
      </c>
      <c r="B50" s="127" t="s">
        <v>266</v>
      </c>
      <c r="C50" s="127" t="s">
        <v>267</v>
      </c>
      <c r="D50" s="127" t="s">
        <v>154</v>
      </c>
      <c r="E50" s="127" t="s">
        <v>268</v>
      </c>
      <c r="F50" s="127" t="s">
        <v>156</v>
      </c>
      <c r="G50" s="127" t="s">
        <v>79</v>
      </c>
      <c r="H50" s="127" t="s">
        <v>51</v>
      </c>
      <c r="I50" s="128">
        <v>45.159353348729788</v>
      </c>
      <c r="J50" s="128">
        <v>61.822063999999997</v>
      </c>
      <c r="K50" s="128">
        <v>7.245552</v>
      </c>
      <c r="L50" s="128">
        <v>1.701068</v>
      </c>
      <c r="M50" s="128">
        <v>3.0854089999999998</v>
      </c>
      <c r="N50" s="128">
        <v>4.2669040000000003</v>
      </c>
      <c r="O50" s="128">
        <v>42.309607999999997</v>
      </c>
      <c r="P50" s="128">
        <v>2.3309609999999998</v>
      </c>
      <c r="Q50" s="128">
        <v>24.946618999999998</v>
      </c>
      <c r="R50" s="128">
        <v>3.0498219999999998</v>
      </c>
      <c r="S50" s="128">
        <v>1.565836</v>
      </c>
      <c r="T50" s="128">
        <v>6.0249110000000003</v>
      </c>
      <c r="U50" s="128">
        <v>63.213523000000002</v>
      </c>
      <c r="V50" s="128">
        <v>43.544483999999997</v>
      </c>
      <c r="W50" s="127"/>
      <c r="X50" s="127"/>
      <c r="Y50" s="130" t="s">
        <v>94</v>
      </c>
      <c r="Z50" s="127"/>
      <c r="AA50" s="127"/>
    </row>
    <row r="51" spans="1:27" ht="15.75" x14ac:dyDescent="0.25">
      <c r="A51" s="127" t="s">
        <v>269</v>
      </c>
      <c r="B51" s="127" t="s">
        <v>270</v>
      </c>
      <c r="C51" s="127" t="s">
        <v>271</v>
      </c>
      <c r="D51" s="127" t="s">
        <v>272</v>
      </c>
      <c r="E51" s="127" t="s">
        <v>273</v>
      </c>
      <c r="F51" s="127" t="s">
        <v>150</v>
      </c>
      <c r="G51" s="127" t="s">
        <v>79</v>
      </c>
      <c r="H51" s="127" t="s">
        <v>93</v>
      </c>
      <c r="I51" s="128">
        <v>16.153605015673978</v>
      </c>
      <c r="J51" s="128">
        <v>10.537367</v>
      </c>
      <c r="K51" s="128">
        <v>6.1352310000000001</v>
      </c>
      <c r="L51" s="128">
        <v>5.4768679999999996</v>
      </c>
      <c r="M51" s="128">
        <v>2.8612099999999998</v>
      </c>
      <c r="N51" s="128">
        <v>7.2918149999999997</v>
      </c>
      <c r="O51" s="128">
        <v>10.370106</v>
      </c>
      <c r="P51" s="128">
        <v>1.8861209999999999</v>
      </c>
      <c r="Q51" s="128">
        <v>5.4626330000000003</v>
      </c>
      <c r="R51" s="128">
        <v>6.7793590000000004</v>
      </c>
      <c r="S51" s="128">
        <v>2.377224</v>
      </c>
      <c r="T51" s="128">
        <v>1.6049819999999999</v>
      </c>
      <c r="U51" s="128">
        <v>14.24911</v>
      </c>
      <c r="V51" s="128">
        <v>12.530249</v>
      </c>
      <c r="W51" s="127"/>
      <c r="X51" s="127"/>
      <c r="Y51" s="131">
        <v>46093</v>
      </c>
      <c r="Z51" s="127"/>
      <c r="AA51" s="127"/>
    </row>
    <row r="52" spans="1:27" ht="15.75" x14ac:dyDescent="0.25">
      <c r="A52" s="127" t="s">
        <v>274</v>
      </c>
      <c r="B52" s="127" t="s">
        <v>275</v>
      </c>
      <c r="C52" s="127" t="s">
        <v>276</v>
      </c>
      <c r="D52" s="127" t="s">
        <v>198</v>
      </c>
      <c r="E52" s="127" t="s">
        <v>277</v>
      </c>
      <c r="F52" s="127" t="s">
        <v>150</v>
      </c>
      <c r="G52" s="127" t="s">
        <v>79</v>
      </c>
      <c r="H52" s="127" t="s">
        <v>93</v>
      </c>
      <c r="I52" s="128">
        <v>23.275167785234899</v>
      </c>
      <c r="J52" s="128">
        <v>15.658363</v>
      </c>
      <c r="K52" s="128">
        <v>5.6583629999999996</v>
      </c>
      <c r="L52" s="128">
        <v>7.3629889999999998</v>
      </c>
      <c r="M52" s="128">
        <v>7.0106760000000001</v>
      </c>
      <c r="N52" s="128">
        <v>13.195729</v>
      </c>
      <c r="O52" s="128">
        <v>17.373664999999999</v>
      </c>
      <c r="P52" s="128">
        <v>2.6654800000000001</v>
      </c>
      <c r="Q52" s="128">
        <v>2.4555159999999998</v>
      </c>
      <c r="R52" s="128">
        <v>8.1530249999999995</v>
      </c>
      <c r="S52" s="128">
        <v>4.1423490000000003</v>
      </c>
      <c r="T52" s="128">
        <v>8.7046259999999993</v>
      </c>
      <c r="U52" s="128">
        <v>14.690391</v>
      </c>
      <c r="V52" s="128">
        <v>23.750889999999998</v>
      </c>
      <c r="W52" s="127"/>
      <c r="X52" s="127" t="s">
        <v>80</v>
      </c>
      <c r="Y52" s="129">
        <v>45633</v>
      </c>
      <c r="Z52" s="127" t="s">
        <v>81</v>
      </c>
      <c r="AA52" s="127" t="s">
        <v>54</v>
      </c>
    </row>
    <row r="53" spans="1:27" ht="15.75" x14ac:dyDescent="0.25">
      <c r="A53" s="127" t="s">
        <v>278</v>
      </c>
      <c r="B53" s="127" t="s">
        <v>279</v>
      </c>
      <c r="C53" s="127" t="s">
        <v>280</v>
      </c>
      <c r="D53" s="127" t="s">
        <v>121</v>
      </c>
      <c r="E53" s="127" t="s">
        <v>281</v>
      </c>
      <c r="F53" s="127" t="s">
        <v>123</v>
      </c>
      <c r="G53" s="127" t="s">
        <v>79</v>
      </c>
      <c r="H53" s="127" t="s">
        <v>93</v>
      </c>
      <c r="I53" s="128">
        <v>34.337777777777781</v>
      </c>
      <c r="J53" s="128">
        <v>30.085408999999999</v>
      </c>
      <c r="K53" s="128">
        <v>8.9928830000000008</v>
      </c>
      <c r="L53" s="128">
        <v>7.0498219999999998</v>
      </c>
      <c r="M53" s="128">
        <v>6.1530250000000004</v>
      </c>
      <c r="N53" s="128">
        <v>10.231317000000001</v>
      </c>
      <c r="O53" s="128">
        <v>40.661921999999997</v>
      </c>
      <c r="P53" s="128">
        <v>3.2028000000000001E-2</v>
      </c>
      <c r="Q53" s="128">
        <v>1.355872</v>
      </c>
      <c r="R53" s="128">
        <v>6.1138789999999998</v>
      </c>
      <c r="S53" s="128">
        <v>6.3914590000000002</v>
      </c>
      <c r="T53" s="128">
        <v>6.2277579999999997</v>
      </c>
      <c r="U53" s="128">
        <v>33.548043</v>
      </c>
      <c r="V53" s="128">
        <v>20.807829000000002</v>
      </c>
      <c r="W53" s="127"/>
      <c r="X53" s="127"/>
      <c r="Y53" s="130" t="s">
        <v>138</v>
      </c>
      <c r="Z53" s="127"/>
      <c r="AA53" s="127"/>
    </row>
    <row r="54" spans="1:27" ht="15.75" x14ac:dyDescent="0.25">
      <c r="A54" s="127" t="s">
        <v>282</v>
      </c>
      <c r="B54" s="127" t="s">
        <v>283</v>
      </c>
      <c r="C54" s="127" t="s">
        <v>284</v>
      </c>
      <c r="D54" s="127" t="s">
        <v>160</v>
      </c>
      <c r="E54" s="127" t="s">
        <v>285</v>
      </c>
      <c r="F54" s="127" t="s">
        <v>162</v>
      </c>
      <c r="G54" s="127" t="s">
        <v>79</v>
      </c>
      <c r="H54" s="127" t="s">
        <v>93</v>
      </c>
      <c r="I54" s="128">
        <v>3.6761229314420798</v>
      </c>
      <c r="J54" s="128">
        <v>3.587189</v>
      </c>
      <c r="K54" s="128">
        <v>1.295374</v>
      </c>
      <c r="L54" s="128">
        <v>0.23131699999999999</v>
      </c>
      <c r="M54" s="128">
        <v>0.437722</v>
      </c>
      <c r="N54" s="128">
        <v>1.3309610000000001</v>
      </c>
      <c r="O54" s="128">
        <v>3.5124559999999998</v>
      </c>
      <c r="P54" s="128">
        <v>1.7794000000000001E-2</v>
      </c>
      <c r="Q54" s="128">
        <v>0.69039099999999998</v>
      </c>
      <c r="R54" s="128">
        <v>1.0854090000000001</v>
      </c>
      <c r="S54" s="128">
        <v>0.57295399999999996</v>
      </c>
      <c r="T54" s="128">
        <v>1.096085</v>
      </c>
      <c r="U54" s="128">
        <v>2.7971529999999998</v>
      </c>
      <c r="V54" s="128">
        <v>3.1743769999999998</v>
      </c>
      <c r="W54" s="127"/>
      <c r="X54" s="127"/>
      <c r="Y54" s="130"/>
      <c r="Z54" s="127"/>
      <c r="AA54" s="127"/>
    </row>
    <row r="55" spans="1:27" ht="15.75" x14ac:dyDescent="0.25">
      <c r="A55" s="127" t="s">
        <v>286</v>
      </c>
      <c r="B55" s="127" t="s">
        <v>287</v>
      </c>
      <c r="C55" s="127" t="s">
        <v>288</v>
      </c>
      <c r="D55" s="127" t="s">
        <v>289</v>
      </c>
      <c r="E55" s="127" t="s">
        <v>290</v>
      </c>
      <c r="F55" s="127" t="s">
        <v>291</v>
      </c>
      <c r="G55" s="127" t="s">
        <v>61</v>
      </c>
      <c r="H55" s="127" t="s">
        <v>93</v>
      </c>
      <c r="I55" s="128">
        <v>22.028402248093141</v>
      </c>
      <c r="J55" s="128">
        <v>724.44839899999999</v>
      </c>
      <c r="K55" s="128">
        <v>83.028469999999999</v>
      </c>
      <c r="L55" s="128">
        <v>2.3879000000000001</v>
      </c>
      <c r="M55" s="128">
        <v>1.7935939999999999</v>
      </c>
      <c r="N55" s="128">
        <v>52.170817999999997</v>
      </c>
      <c r="O55" s="128">
        <v>702.893238</v>
      </c>
      <c r="P55" s="128">
        <v>1.86121</v>
      </c>
      <c r="Q55" s="128">
        <v>54.733096000000003</v>
      </c>
      <c r="R55" s="128">
        <v>5.6476870000000003</v>
      </c>
      <c r="S55" s="128">
        <v>23.099644000000001</v>
      </c>
      <c r="T55" s="128">
        <v>63.398577000000003</v>
      </c>
      <c r="U55" s="128">
        <v>719.51245600000004</v>
      </c>
      <c r="V55" s="128">
        <v>401.45195699999999</v>
      </c>
      <c r="W55" s="128">
        <v>700</v>
      </c>
      <c r="X55" s="127" t="s">
        <v>52</v>
      </c>
      <c r="Y55" s="129">
        <v>45897</v>
      </c>
      <c r="Z55" s="127" t="s">
        <v>95</v>
      </c>
      <c r="AA55" s="127" t="s">
        <v>54</v>
      </c>
    </row>
    <row r="56" spans="1:27" ht="15.75" x14ac:dyDescent="0.25">
      <c r="A56" s="127" t="s">
        <v>292</v>
      </c>
      <c r="B56" s="127" t="s">
        <v>293</v>
      </c>
      <c r="C56" s="127" t="s">
        <v>294</v>
      </c>
      <c r="D56" s="127" t="s">
        <v>295</v>
      </c>
      <c r="E56" s="127" t="s">
        <v>296</v>
      </c>
      <c r="F56" s="127" t="s">
        <v>297</v>
      </c>
      <c r="G56" s="127" t="s">
        <v>61</v>
      </c>
      <c r="H56" s="127" t="s">
        <v>93</v>
      </c>
      <c r="I56" s="128">
        <v>50.681284130398808</v>
      </c>
      <c r="J56" s="128">
        <v>559.61210000000005</v>
      </c>
      <c r="K56" s="128">
        <v>240.17793599999999</v>
      </c>
      <c r="L56" s="128">
        <v>247.36654799999999</v>
      </c>
      <c r="M56" s="128">
        <v>159.45907500000001</v>
      </c>
      <c r="N56" s="128">
        <v>274.02135299999998</v>
      </c>
      <c r="O56" s="128">
        <v>832.338078</v>
      </c>
      <c r="P56" s="128">
        <v>20.548043</v>
      </c>
      <c r="Q56" s="128">
        <v>79.708185</v>
      </c>
      <c r="R56" s="128">
        <v>153.580071</v>
      </c>
      <c r="S56" s="128">
        <v>84.145906999999994</v>
      </c>
      <c r="T56" s="128">
        <v>120.31316700000001</v>
      </c>
      <c r="U56" s="128">
        <v>848.57651299999998</v>
      </c>
      <c r="V56" s="128">
        <v>592.46619199999998</v>
      </c>
      <c r="W56" s="128">
        <v>600</v>
      </c>
      <c r="X56" s="127" t="s">
        <v>52</v>
      </c>
      <c r="Y56" s="129">
        <v>45701</v>
      </c>
      <c r="Z56" s="127" t="s">
        <v>53</v>
      </c>
      <c r="AA56" s="127" t="s">
        <v>54</v>
      </c>
    </row>
    <row r="57" spans="1:27" ht="15.75" x14ac:dyDescent="0.25">
      <c r="A57" s="127" t="s">
        <v>298</v>
      </c>
      <c r="B57" s="127" t="s">
        <v>299</v>
      </c>
      <c r="C57" s="127" t="s">
        <v>300</v>
      </c>
      <c r="D57" s="127" t="s">
        <v>301</v>
      </c>
      <c r="E57" s="127" t="s">
        <v>302</v>
      </c>
      <c r="F57" s="127" t="s">
        <v>172</v>
      </c>
      <c r="G57" s="127" t="s">
        <v>79</v>
      </c>
      <c r="H57" s="127" t="s">
        <v>51</v>
      </c>
      <c r="I57" s="128">
        <v>85.826086956521735</v>
      </c>
      <c r="J57" s="128">
        <v>2.8861210000000002</v>
      </c>
      <c r="K57" s="128">
        <v>8.5836299999999994</v>
      </c>
      <c r="L57" s="128">
        <v>4.5231320000000004</v>
      </c>
      <c r="M57" s="128">
        <v>2.9537369999999998</v>
      </c>
      <c r="N57" s="128">
        <v>6.2348749999999997</v>
      </c>
      <c r="O57" s="128">
        <v>11.903915</v>
      </c>
      <c r="P57" s="128">
        <v>2.1351999999999999E-2</v>
      </c>
      <c r="Q57" s="128">
        <v>0.78647699999999998</v>
      </c>
      <c r="R57" s="128">
        <v>6.2953739999999998</v>
      </c>
      <c r="S57" s="128">
        <v>0.62633499999999998</v>
      </c>
      <c r="T57" s="128">
        <v>0.34875400000000001</v>
      </c>
      <c r="U57" s="128">
        <v>11.676157</v>
      </c>
      <c r="V57" s="128">
        <v>8.7615660000000002</v>
      </c>
      <c r="W57" s="127"/>
      <c r="X57" s="127" t="s">
        <v>80</v>
      </c>
      <c r="Y57" s="129">
        <v>45365</v>
      </c>
      <c r="Z57" s="127" t="s">
        <v>81</v>
      </c>
      <c r="AA57" s="127" t="s">
        <v>54</v>
      </c>
    </row>
    <row r="58" spans="1:27" ht="15.75" x14ac:dyDescent="0.25">
      <c r="A58" s="127" t="s">
        <v>303</v>
      </c>
      <c r="B58" s="127" t="s">
        <v>304</v>
      </c>
      <c r="C58" s="127" t="s">
        <v>57</v>
      </c>
      <c r="D58" s="127" t="s">
        <v>58</v>
      </c>
      <c r="E58" s="127" t="s">
        <v>59</v>
      </c>
      <c r="F58" s="127" t="s">
        <v>60</v>
      </c>
      <c r="G58" s="127" t="s">
        <v>61</v>
      </c>
      <c r="H58" s="127" t="s">
        <v>51</v>
      </c>
      <c r="I58" s="128">
        <v>48.564016736401683</v>
      </c>
      <c r="J58" s="128">
        <v>331.87900400000001</v>
      </c>
      <c r="K58" s="128">
        <v>56.811388000000001</v>
      </c>
      <c r="L58" s="128">
        <v>36.110320000000002</v>
      </c>
      <c r="M58" s="128">
        <v>9.2170819999999996</v>
      </c>
      <c r="N58" s="128">
        <v>40.903914999999998</v>
      </c>
      <c r="O58" s="128">
        <v>393.113879</v>
      </c>
      <c r="P58" s="128">
        <v>0</v>
      </c>
      <c r="Q58" s="128">
        <v>0</v>
      </c>
      <c r="R58" s="128">
        <v>13.032028</v>
      </c>
      <c r="S58" s="128">
        <v>21.498221000000001</v>
      </c>
      <c r="T58" s="128">
        <v>46.320284999999998</v>
      </c>
      <c r="U58" s="128">
        <v>353.167259</v>
      </c>
      <c r="V58" s="128">
        <v>169.38078300000001</v>
      </c>
      <c r="W58" s="128">
        <v>480</v>
      </c>
      <c r="X58" s="127" t="s">
        <v>52</v>
      </c>
      <c r="Y58" s="129">
        <v>45715</v>
      </c>
      <c r="Z58" s="127" t="s">
        <v>53</v>
      </c>
      <c r="AA58" s="127" t="s">
        <v>54</v>
      </c>
    </row>
    <row r="59" spans="1:27" ht="15.75" x14ac:dyDescent="0.25">
      <c r="A59" s="127" t="s">
        <v>305</v>
      </c>
      <c r="B59" s="127" t="s">
        <v>306</v>
      </c>
      <c r="C59" s="127" t="s">
        <v>307</v>
      </c>
      <c r="D59" s="127" t="s">
        <v>241</v>
      </c>
      <c r="E59" s="127" t="s">
        <v>308</v>
      </c>
      <c r="F59" s="127" t="s">
        <v>117</v>
      </c>
      <c r="G59" s="127" t="s">
        <v>50</v>
      </c>
      <c r="H59" s="127" t="s">
        <v>93</v>
      </c>
      <c r="I59" s="128">
        <v>30.846833578792339</v>
      </c>
      <c r="J59" s="128">
        <v>413.59786500000001</v>
      </c>
      <c r="K59" s="128">
        <v>46.903914999999998</v>
      </c>
      <c r="L59" s="128">
        <v>84.843416000000005</v>
      </c>
      <c r="M59" s="128">
        <v>60.106762000000003</v>
      </c>
      <c r="N59" s="128">
        <v>78.441281000000004</v>
      </c>
      <c r="O59" s="128">
        <v>412.59430600000002</v>
      </c>
      <c r="P59" s="128">
        <v>6.4306049999999999</v>
      </c>
      <c r="Q59" s="128">
        <v>107.985765</v>
      </c>
      <c r="R59" s="128">
        <v>61.526690000000002</v>
      </c>
      <c r="S59" s="128">
        <v>36.245552000000004</v>
      </c>
      <c r="T59" s="128">
        <v>59.483986000000002</v>
      </c>
      <c r="U59" s="128">
        <v>448.19572899999997</v>
      </c>
      <c r="V59" s="128">
        <v>253.02847</v>
      </c>
      <c r="W59" s="128">
        <v>1200</v>
      </c>
      <c r="X59" s="127" t="s">
        <v>173</v>
      </c>
      <c r="Y59" s="131">
        <v>45945</v>
      </c>
      <c r="Z59" s="127" t="s">
        <v>309</v>
      </c>
      <c r="AA59" s="127" t="s">
        <v>54</v>
      </c>
    </row>
    <row r="60" spans="1:27" ht="15.75" x14ac:dyDescent="0.25">
      <c r="A60" s="127" t="s">
        <v>310</v>
      </c>
      <c r="B60" s="127" t="s">
        <v>311</v>
      </c>
      <c r="C60" s="127" t="s">
        <v>312</v>
      </c>
      <c r="D60" s="127" t="s">
        <v>115</v>
      </c>
      <c r="E60" s="127" t="s">
        <v>313</v>
      </c>
      <c r="F60" s="127" t="s">
        <v>314</v>
      </c>
      <c r="G60" s="127" t="s">
        <v>315</v>
      </c>
      <c r="H60" s="127" t="s">
        <v>93</v>
      </c>
      <c r="I60" s="128">
        <v>31.304527813712809</v>
      </c>
      <c r="J60" s="128">
        <v>415.07117399999998</v>
      </c>
      <c r="K60" s="128">
        <v>9.1067619999999998</v>
      </c>
      <c r="L60" s="128">
        <v>1.295374</v>
      </c>
      <c r="M60" s="128">
        <v>0.33451999999999998</v>
      </c>
      <c r="N60" s="128">
        <v>1.3451960000000001</v>
      </c>
      <c r="O60" s="128">
        <v>160.530249</v>
      </c>
      <c r="P60" s="128">
        <v>2.3665479999999999</v>
      </c>
      <c r="Q60" s="128">
        <v>261.56583599999999</v>
      </c>
      <c r="R60" s="128">
        <v>0.55160100000000001</v>
      </c>
      <c r="S60" s="128">
        <v>1.1850529999999999</v>
      </c>
      <c r="T60" s="128">
        <v>4.124555</v>
      </c>
      <c r="U60" s="128">
        <v>419.946619</v>
      </c>
      <c r="V60" s="128">
        <v>231.498221</v>
      </c>
      <c r="W60" s="128">
        <v>2000</v>
      </c>
      <c r="X60" s="127" t="s">
        <v>52</v>
      </c>
      <c r="Y60" s="129">
        <v>46121</v>
      </c>
      <c r="Z60" s="127" t="s">
        <v>316</v>
      </c>
      <c r="AA60" s="127" t="s">
        <v>54</v>
      </c>
    </row>
    <row r="61" spans="1:27" ht="15.75" x14ac:dyDescent="0.25">
      <c r="A61" s="127" t="s">
        <v>317</v>
      </c>
      <c r="B61" s="127" t="s">
        <v>311</v>
      </c>
      <c r="C61" s="127" t="s">
        <v>312</v>
      </c>
      <c r="D61" s="127" t="s">
        <v>115</v>
      </c>
      <c r="E61" s="127" t="s">
        <v>313</v>
      </c>
      <c r="F61" s="127" t="s">
        <v>314</v>
      </c>
      <c r="G61" s="127" t="s">
        <v>50</v>
      </c>
      <c r="H61" s="127" t="s">
        <v>318</v>
      </c>
      <c r="I61" s="128">
        <v>77.202247191011239</v>
      </c>
      <c r="J61" s="128">
        <v>180.13879</v>
      </c>
      <c r="K61" s="128">
        <v>31.341636999999999</v>
      </c>
      <c r="L61" s="128">
        <v>0.33096100000000001</v>
      </c>
      <c r="M61" s="128">
        <v>0.61565800000000004</v>
      </c>
      <c r="N61" s="128">
        <v>0</v>
      </c>
      <c r="O61" s="128">
        <v>3.5587000000000001E-2</v>
      </c>
      <c r="P61" s="128">
        <v>8.6548040000000004</v>
      </c>
      <c r="Q61" s="128">
        <v>203.73665500000001</v>
      </c>
      <c r="R61" s="128">
        <v>1.501779</v>
      </c>
      <c r="S61" s="128">
        <v>3.594306</v>
      </c>
      <c r="T61" s="128">
        <v>10.786477</v>
      </c>
      <c r="U61" s="128">
        <v>196.54448400000001</v>
      </c>
      <c r="V61" s="128">
        <v>68.907472999999996</v>
      </c>
      <c r="W61" s="128">
        <v>400</v>
      </c>
      <c r="X61" s="127"/>
      <c r="Y61" s="130" t="s">
        <v>94</v>
      </c>
      <c r="Z61" s="127"/>
      <c r="AA61" s="127"/>
    </row>
    <row r="62" spans="1:27" ht="15.75" x14ac:dyDescent="0.25">
      <c r="A62" s="127" t="s">
        <v>319</v>
      </c>
      <c r="B62" s="127" t="s">
        <v>320</v>
      </c>
      <c r="C62" s="127" t="s">
        <v>321</v>
      </c>
      <c r="D62" s="127" t="s">
        <v>322</v>
      </c>
      <c r="E62" s="127" t="s">
        <v>323</v>
      </c>
      <c r="F62" s="127" t="s">
        <v>123</v>
      </c>
      <c r="G62" s="127" t="s">
        <v>79</v>
      </c>
      <c r="H62" s="127" t="s">
        <v>93</v>
      </c>
      <c r="I62" s="128">
        <v>22.33984962406015</v>
      </c>
      <c r="J62" s="128">
        <v>45.259785999999998</v>
      </c>
      <c r="K62" s="128">
        <v>11.103203000000001</v>
      </c>
      <c r="L62" s="128">
        <v>31.516013999999998</v>
      </c>
      <c r="M62" s="128">
        <v>21.110320000000002</v>
      </c>
      <c r="N62" s="128">
        <v>42.829180999999998</v>
      </c>
      <c r="O62" s="128">
        <v>66.160141999999993</v>
      </c>
      <c r="P62" s="128">
        <v>0</v>
      </c>
      <c r="Q62" s="128">
        <v>0</v>
      </c>
      <c r="R62" s="128">
        <v>23.160142</v>
      </c>
      <c r="S62" s="128">
        <v>15.345196</v>
      </c>
      <c r="T62" s="128">
        <v>16.935943000000002</v>
      </c>
      <c r="U62" s="128">
        <v>53.548042000000002</v>
      </c>
      <c r="V62" s="128">
        <v>69.096085000000002</v>
      </c>
      <c r="W62" s="127"/>
      <c r="X62" s="127" t="s">
        <v>52</v>
      </c>
      <c r="Y62" s="129">
        <v>45750</v>
      </c>
      <c r="Z62" s="127" t="s">
        <v>95</v>
      </c>
      <c r="AA62" s="127" t="s">
        <v>54</v>
      </c>
    </row>
    <row r="63" spans="1:27" ht="15.75" x14ac:dyDescent="0.25">
      <c r="A63" s="127" t="s">
        <v>324</v>
      </c>
      <c r="B63" s="127" t="s">
        <v>325</v>
      </c>
      <c r="C63" s="127" t="s">
        <v>326</v>
      </c>
      <c r="D63" s="127" t="s">
        <v>322</v>
      </c>
      <c r="E63" s="127" t="s">
        <v>327</v>
      </c>
      <c r="F63" s="127" t="s">
        <v>150</v>
      </c>
      <c r="G63" s="127" t="s">
        <v>79</v>
      </c>
      <c r="H63" s="127" t="s">
        <v>93</v>
      </c>
      <c r="I63" s="128">
        <v>42.081967213114751</v>
      </c>
      <c r="J63" s="128">
        <v>13.323843</v>
      </c>
      <c r="K63" s="128">
        <v>6.9537370000000003</v>
      </c>
      <c r="L63" s="128">
        <v>3.1921710000000001</v>
      </c>
      <c r="M63" s="128">
        <v>0.63345200000000002</v>
      </c>
      <c r="N63" s="128">
        <v>4.1067619999999998</v>
      </c>
      <c r="O63" s="128">
        <v>16.338077999999999</v>
      </c>
      <c r="P63" s="128">
        <v>4.2705E-2</v>
      </c>
      <c r="Q63" s="128">
        <v>3.6156579999999998</v>
      </c>
      <c r="R63" s="128">
        <v>1.565836</v>
      </c>
      <c r="S63" s="128">
        <v>1.1921710000000001</v>
      </c>
      <c r="T63" s="128">
        <v>2.6761569999999999</v>
      </c>
      <c r="U63" s="128">
        <v>18.669039000000001</v>
      </c>
      <c r="V63" s="128">
        <v>12.875444999999999</v>
      </c>
      <c r="W63" s="127"/>
      <c r="X63" s="127"/>
      <c r="Y63" s="130" t="s">
        <v>94</v>
      </c>
      <c r="Z63" s="127"/>
      <c r="AA63" s="127"/>
    </row>
    <row r="64" spans="1:27" ht="15.75" x14ac:dyDescent="0.25">
      <c r="A64" s="127" t="s">
        <v>328</v>
      </c>
      <c r="B64" s="127" t="s">
        <v>329</v>
      </c>
      <c r="C64" s="127" t="s">
        <v>330</v>
      </c>
      <c r="D64" s="127" t="s">
        <v>115</v>
      </c>
      <c r="E64" s="127" t="s">
        <v>331</v>
      </c>
      <c r="F64" s="127" t="s">
        <v>260</v>
      </c>
      <c r="G64" s="127" t="s">
        <v>79</v>
      </c>
      <c r="H64" s="127" t="s">
        <v>93</v>
      </c>
      <c r="I64" s="128">
        <v>2.2847058823529411</v>
      </c>
      <c r="J64" s="128">
        <v>0.87900400000000001</v>
      </c>
      <c r="K64" s="128">
        <v>0.95729500000000001</v>
      </c>
      <c r="L64" s="128">
        <v>0.74733099999999997</v>
      </c>
      <c r="M64" s="128">
        <v>1.4661919999999999</v>
      </c>
      <c r="N64" s="128">
        <v>3.7580070000000001</v>
      </c>
      <c r="O64" s="128">
        <v>0.20996400000000001</v>
      </c>
      <c r="P64" s="128">
        <v>6.0498000000000003E-2</v>
      </c>
      <c r="Q64" s="128">
        <v>2.1351999999999999E-2</v>
      </c>
      <c r="R64" s="128">
        <v>1.907473</v>
      </c>
      <c r="S64" s="128">
        <v>1.4092530000000001</v>
      </c>
      <c r="T64" s="128">
        <v>0.63701099999999999</v>
      </c>
      <c r="U64" s="128">
        <v>9.6085000000000004E-2</v>
      </c>
      <c r="V64" s="128">
        <v>3.9217080000000002</v>
      </c>
      <c r="W64" s="127"/>
      <c r="X64" s="127" t="s">
        <v>110</v>
      </c>
      <c r="Y64" s="129">
        <v>45799</v>
      </c>
      <c r="Z64" s="127" t="s">
        <v>95</v>
      </c>
      <c r="AA64" s="127" t="s">
        <v>54</v>
      </c>
    </row>
    <row r="65" spans="1:27" ht="15.75" x14ac:dyDescent="0.25">
      <c r="A65" s="127" t="s">
        <v>332</v>
      </c>
      <c r="B65" s="127" t="s">
        <v>333</v>
      </c>
      <c r="C65" s="127" t="s">
        <v>334</v>
      </c>
      <c r="D65" s="127" t="s">
        <v>115</v>
      </c>
      <c r="E65" s="127" t="s">
        <v>335</v>
      </c>
      <c r="F65" s="127" t="s">
        <v>117</v>
      </c>
      <c r="G65" s="127" t="s">
        <v>79</v>
      </c>
      <c r="H65" s="127" t="s">
        <v>51</v>
      </c>
      <c r="I65" s="128">
        <v>45.369138676421677</v>
      </c>
      <c r="J65" s="128">
        <v>384.35943099999997</v>
      </c>
      <c r="K65" s="128">
        <v>52.654803999999999</v>
      </c>
      <c r="L65" s="128">
        <v>5.8434160000000004</v>
      </c>
      <c r="M65" s="128">
        <v>1.049822</v>
      </c>
      <c r="N65" s="128">
        <v>35.142349000000003</v>
      </c>
      <c r="O65" s="128">
        <v>408.76156600000002</v>
      </c>
      <c r="P65" s="128">
        <v>3.5590000000000001E-3</v>
      </c>
      <c r="Q65" s="128">
        <v>0</v>
      </c>
      <c r="R65" s="128">
        <v>9.7259790000000006</v>
      </c>
      <c r="S65" s="128">
        <v>15.099644</v>
      </c>
      <c r="T65" s="128">
        <v>35.217081999999998</v>
      </c>
      <c r="U65" s="128">
        <v>383.86476800000003</v>
      </c>
      <c r="V65" s="128">
        <v>287.50889699999999</v>
      </c>
      <c r="W65" s="127"/>
      <c r="X65" s="127" t="s">
        <v>52</v>
      </c>
      <c r="Y65" s="129">
        <v>45715</v>
      </c>
      <c r="Z65" s="127" t="s">
        <v>95</v>
      </c>
      <c r="AA65" s="127" t="s">
        <v>54</v>
      </c>
    </row>
    <row r="66" spans="1:27" ht="15.75" x14ac:dyDescent="0.25">
      <c r="A66" s="127" t="s">
        <v>336</v>
      </c>
      <c r="B66" s="127" t="s">
        <v>337</v>
      </c>
      <c r="C66" s="127" t="s">
        <v>338</v>
      </c>
      <c r="D66" s="127" t="s">
        <v>115</v>
      </c>
      <c r="E66" s="127" t="s">
        <v>339</v>
      </c>
      <c r="F66" s="127" t="s">
        <v>237</v>
      </c>
      <c r="G66" s="127" t="s">
        <v>144</v>
      </c>
      <c r="H66" s="127" t="s">
        <v>93</v>
      </c>
      <c r="I66" s="128">
        <v>55.959827446751149</v>
      </c>
      <c r="J66" s="128">
        <v>377.30960900000002</v>
      </c>
      <c r="K66" s="128">
        <v>127.939502</v>
      </c>
      <c r="L66" s="128">
        <v>146.06405699999999</v>
      </c>
      <c r="M66" s="128">
        <v>100.31316700000001</v>
      </c>
      <c r="N66" s="128">
        <v>182.59786500000001</v>
      </c>
      <c r="O66" s="128">
        <v>365.90391499999998</v>
      </c>
      <c r="P66" s="128">
        <v>35.128113999999997</v>
      </c>
      <c r="Q66" s="128">
        <v>167.996441</v>
      </c>
      <c r="R66" s="128">
        <v>124.11032</v>
      </c>
      <c r="S66" s="128">
        <v>52.540925000000001</v>
      </c>
      <c r="T66" s="128">
        <v>80.750889999999998</v>
      </c>
      <c r="U66" s="128">
        <v>494.224199</v>
      </c>
      <c r="V66" s="128">
        <v>339.04270500000001</v>
      </c>
      <c r="W66" s="128">
        <v>450</v>
      </c>
      <c r="X66" s="127" t="s">
        <v>52</v>
      </c>
      <c r="Y66" s="129">
        <v>45701</v>
      </c>
      <c r="Z66" s="127" t="s">
        <v>53</v>
      </c>
      <c r="AA66" s="127" t="s">
        <v>54</v>
      </c>
    </row>
    <row r="67" spans="1:27" ht="15.75" x14ac:dyDescent="0.25">
      <c r="A67" s="127" t="s">
        <v>340</v>
      </c>
      <c r="B67" s="127" t="s">
        <v>341</v>
      </c>
      <c r="C67" s="127" t="s">
        <v>342</v>
      </c>
      <c r="D67" s="127" t="s">
        <v>115</v>
      </c>
      <c r="E67" s="127" t="s">
        <v>343</v>
      </c>
      <c r="F67" s="127" t="s">
        <v>260</v>
      </c>
      <c r="G67" s="127" t="s">
        <v>50</v>
      </c>
      <c r="H67" s="127" t="s">
        <v>93</v>
      </c>
      <c r="I67" s="128">
        <v>38.168191800878468</v>
      </c>
      <c r="J67" s="128">
        <v>644.28113900000005</v>
      </c>
      <c r="K67" s="128">
        <v>85.715301999999994</v>
      </c>
      <c r="L67" s="128">
        <v>71.128113999999997</v>
      </c>
      <c r="M67" s="128">
        <v>66.640568999999999</v>
      </c>
      <c r="N67" s="128">
        <v>133.33452</v>
      </c>
      <c r="O67" s="128">
        <v>405.85765099999998</v>
      </c>
      <c r="P67" s="128">
        <v>23.202846999999998</v>
      </c>
      <c r="Q67" s="128">
        <v>305.37010700000002</v>
      </c>
      <c r="R67" s="128">
        <v>91.701068000000006</v>
      </c>
      <c r="S67" s="128">
        <v>46.003559000000003</v>
      </c>
      <c r="T67" s="128">
        <v>61.032027999999997</v>
      </c>
      <c r="U67" s="128">
        <v>669.02846899999997</v>
      </c>
      <c r="V67" s="128">
        <v>531.03558699999996</v>
      </c>
      <c r="W67" s="128">
        <v>600</v>
      </c>
      <c r="X67" s="127" t="s">
        <v>52</v>
      </c>
      <c r="Y67" s="129">
        <v>45722</v>
      </c>
      <c r="Z67" s="127" t="s">
        <v>53</v>
      </c>
      <c r="AA67" s="127" t="s">
        <v>54</v>
      </c>
    </row>
    <row r="68" spans="1:27" ht="15.75" x14ac:dyDescent="0.25">
      <c r="A68" s="127" t="s">
        <v>344</v>
      </c>
      <c r="B68" s="127" t="s">
        <v>345</v>
      </c>
      <c r="C68" s="127" t="s">
        <v>346</v>
      </c>
      <c r="D68" s="127" t="s">
        <v>289</v>
      </c>
      <c r="E68" s="127" t="s">
        <v>347</v>
      </c>
      <c r="F68" s="127" t="s">
        <v>291</v>
      </c>
      <c r="G68" s="127" t="s">
        <v>61</v>
      </c>
      <c r="H68" s="127" t="s">
        <v>93</v>
      </c>
      <c r="I68" s="128">
        <v>13.828099766732461</v>
      </c>
      <c r="J68" s="128">
        <v>155.71530200000001</v>
      </c>
      <c r="K68" s="128">
        <v>26.850534</v>
      </c>
      <c r="L68" s="128">
        <v>54.163701000000003</v>
      </c>
      <c r="M68" s="128">
        <v>45.576512000000001</v>
      </c>
      <c r="N68" s="128">
        <v>51.846975</v>
      </c>
      <c r="O68" s="128">
        <v>191.943061</v>
      </c>
      <c r="P68" s="128">
        <v>3.5444840000000002</v>
      </c>
      <c r="Q68" s="128">
        <v>34.971530000000001</v>
      </c>
      <c r="R68" s="128">
        <v>33.665480000000002</v>
      </c>
      <c r="S68" s="128">
        <v>16.992882999999999</v>
      </c>
      <c r="T68" s="128">
        <v>21.619216999999999</v>
      </c>
      <c r="U68" s="128">
        <v>210.02847</v>
      </c>
      <c r="V68" s="128">
        <v>173</v>
      </c>
      <c r="W68" s="128">
        <v>328</v>
      </c>
      <c r="X68" s="127" t="s">
        <v>52</v>
      </c>
      <c r="Y68" s="129">
        <v>46142</v>
      </c>
      <c r="Z68" s="127" t="s">
        <v>53</v>
      </c>
      <c r="AA68" s="127" t="s">
        <v>54</v>
      </c>
    </row>
    <row r="69" spans="1:27" ht="15.75" x14ac:dyDescent="0.25">
      <c r="A69" s="127" t="s">
        <v>348</v>
      </c>
      <c r="B69" s="127" t="s">
        <v>349</v>
      </c>
      <c r="C69" s="127" t="s">
        <v>350</v>
      </c>
      <c r="D69" s="127" t="s">
        <v>351</v>
      </c>
      <c r="E69" s="127" t="s">
        <v>352</v>
      </c>
      <c r="F69" s="127" t="s">
        <v>162</v>
      </c>
      <c r="G69" s="127" t="s">
        <v>79</v>
      </c>
      <c r="H69" s="127" t="s">
        <v>93</v>
      </c>
      <c r="I69" s="128">
        <v>3.785607196401799</v>
      </c>
      <c r="J69" s="128">
        <v>4.4946619999999999</v>
      </c>
      <c r="K69" s="128">
        <v>2.309609</v>
      </c>
      <c r="L69" s="128">
        <v>1.309609</v>
      </c>
      <c r="M69" s="128">
        <v>1.1032029999999999</v>
      </c>
      <c r="N69" s="128">
        <v>2.7686829999999998</v>
      </c>
      <c r="O69" s="128">
        <v>5.7224199999999996</v>
      </c>
      <c r="P69" s="128">
        <v>0.19572999999999999</v>
      </c>
      <c r="Q69" s="128">
        <v>0.53024899999999997</v>
      </c>
      <c r="R69" s="128">
        <v>1.2882560000000001</v>
      </c>
      <c r="S69" s="128">
        <v>1.391459</v>
      </c>
      <c r="T69" s="128">
        <v>2.1743769999999998</v>
      </c>
      <c r="U69" s="128">
        <v>4.3629889999999998</v>
      </c>
      <c r="V69" s="128">
        <v>4.309609</v>
      </c>
      <c r="W69" s="127"/>
      <c r="X69" s="127" t="s">
        <v>52</v>
      </c>
      <c r="Y69" s="129">
        <v>45889</v>
      </c>
      <c r="Z69" s="127" t="s">
        <v>95</v>
      </c>
      <c r="AA69" s="127" t="s">
        <v>54</v>
      </c>
    </row>
    <row r="70" spans="1:27" ht="15.75" x14ac:dyDescent="0.25">
      <c r="A70" s="127" t="s">
        <v>353</v>
      </c>
      <c r="B70" s="127" t="s">
        <v>354</v>
      </c>
      <c r="C70" s="127" t="s">
        <v>355</v>
      </c>
      <c r="D70" s="127" t="s">
        <v>203</v>
      </c>
      <c r="E70" s="127" t="s">
        <v>356</v>
      </c>
      <c r="F70" s="127" t="s">
        <v>205</v>
      </c>
      <c r="G70" s="127" t="s">
        <v>50</v>
      </c>
      <c r="H70" s="127" t="s">
        <v>93</v>
      </c>
      <c r="I70" s="128">
        <v>50.483043950081388</v>
      </c>
      <c r="J70" s="128">
        <v>764.51245600000004</v>
      </c>
      <c r="K70" s="128">
        <v>168.40925300000001</v>
      </c>
      <c r="L70" s="128">
        <v>193.779359</v>
      </c>
      <c r="M70" s="128">
        <v>157.86832699999999</v>
      </c>
      <c r="N70" s="128">
        <v>185.48754400000001</v>
      </c>
      <c r="O70" s="128">
        <v>630.48754399999996</v>
      </c>
      <c r="P70" s="128">
        <v>77.569395</v>
      </c>
      <c r="Q70" s="128">
        <v>391.02491099999997</v>
      </c>
      <c r="R70" s="128">
        <v>140.135231</v>
      </c>
      <c r="S70" s="128">
        <v>76.583629999999999</v>
      </c>
      <c r="T70" s="128">
        <v>118.042705</v>
      </c>
      <c r="U70" s="128">
        <v>949.80782899999997</v>
      </c>
      <c r="V70" s="128">
        <v>674.69039099999998</v>
      </c>
      <c r="W70" s="128">
        <v>900</v>
      </c>
      <c r="X70" s="127" t="s">
        <v>52</v>
      </c>
      <c r="Y70" s="129">
        <v>46163</v>
      </c>
      <c r="Z70" s="127" t="s">
        <v>53</v>
      </c>
      <c r="AA70" s="127" t="s">
        <v>54</v>
      </c>
    </row>
    <row r="71" spans="1:27" ht="15.75" x14ac:dyDescent="0.25">
      <c r="A71" s="127" t="s">
        <v>357</v>
      </c>
      <c r="B71" s="127" t="s">
        <v>358</v>
      </c>
      <c r="C71" s="127" t="s">
        <v>338</v>
      </c>
      <c r="D71" s="127" t="s">
        <v>115</v>
      </c>
      <c r="E71" s="127" t="s">
        <v>359</v>
      </c>
      <c r="F71" s="127" t="s">
        <v>237</v>
      </c>
      <c r="G71" s="127" t="s">
        <v>61</v>
      </c>
      <c r="H71" s="127" t="s">
        <v>93</v>
      </c>
      <c r="I71" s="128">
        <v>11.525631407851961</v>
      </c>
      <c r="J71" s="128">
        <v>1361.7330959999999</v>
      </c>
      <c r="K71" s="128">
        <v>253.637011</v>
      </c>
      <c r="L71" s="128">
        <v>231.95017799999999</v>
      </c>
      <c r="M71" s="128">
        <v>179.113879</v>
      </c>
      <c r="N71" s="128">
        <v>365.18861199999998</v>
      </c>
      <c r="O71" s="128">
        <v>1447.4377219999999</v>
      </c>
      <c r="P71" s="128">
        <v>18.409253</v>
      </c>
      <c r="Q71" s="128">
        <v>195.39857699999999</v>
      </c>
      <c r="R71" s="128">
        <v>207.220641</v>
      </c>
      <c r="S71" s="128">
        <v>110.661922</v>
      </c>
      <c r="T71" s="128">
        <v>187.34163699999999</v>
      </c>
      <c r="U71" s="128">
        <v>1521.2099639999999</v>
      </c>
      <c r="V71" s="128">
        <v>1266.0747329999999</v>
      </c>
      <c r="W71" s="128">
        <v>5000</v>
      </c>
      <c r="X71" s="127" t="s">
        <v>52</v>
      </c>
      <c r="Y71" s="129">
        <v>46065</v>
      </c>
      <c r="Z71" s="127" t="s">
        <v>309</v>
      </c>
      <c r="AA71" s="127" t="s">
        <v>54</v>
      </c>
    </row>
    <row r="72" spans="1:27" ht="15.75" x14ac:dyDescent="0.25">
      <c r="A72" s="127" t="s">
        <v>360</v>
      </c>
      <c r="B72" s="127" t="s">
        <v>361</v>
      </c>
      <c r="C72" s="127" t="s">
        <v>362</v>
      </c>
      <c r="D72" s="127" t="s">
        <v>99</v>
      </c>
      <c r="E72" s="127" t="s">
        <v>363</v>
      </c>
      <c r="F72" s="127" t="s">
        <v>49</v>
      </c>
      <c r="G72" s="127" t="s">
        <v>79</v>
      </c>
      <c r="H72" s="127" t="s">
        <v>51</v>
      </c>
      <c r="I72" s="128">
        <v>3.898283875580979</v>
      </c>
      <c r="J72" s="128">
        <v>57.046263000000003</v>
      </c>
      <c r="K72" s="128">
        <v>7.9608540000000003</v>
      </c>
      <c r="L72" s="128">
        <v>8.2740209999999994</v>
      </c>
      <c r="M72" s="128">
        <v>4.7758010000000004</v>
      </c>
      <c r="N72" s="128">
        <v>12.145906999999999</v>
      </c>
      <c r="O72" s="128">
        <v>55.597864999999999</v>
      </c>
      <c r="P72" s="128">
        <v>1.412811</v>
      </c>
      <c r="Q72" s="128">
        <v>8.9003560000000004</v>
      </c>
      <c r="R72" s="128">
        <v>5.2419929999999999</v>
      </c>
      <c r="S72" s="128">
        <v>5.5266900000000003</v>
      </c>
      <c r="T72" s="128">
        <v>8.8042700000000007</v>
      </c>
      <c r="U72" s="128">
        <v>58.483986000000002</v>
      </c>
      <c r="V72" s="128">
        <v>45.562277999999999</v>
      </c>
      <c r="W72" s="127"/>
      <c r="X72" s="127" t="s">
        <v>52</v>
      </c>
      <c r="Y72" s="129">
        <v>45699</v>
      </c>
      <c r="Z72" s="127" t="s">
        <v>364</v>
      </c>
      <c r="AA72" s="127" t="s">
        <v>54</v>
      </c>
    </row>
    <row r="73" spans="1:27" ht="15.75" x14ac:dyDescent="0.25">
      <c r="A73" s="127" t="s">
        <v>365</v>
      </c>
      <c r="B73" s="127" t="s">
        <v>366</v>
      </c>
      <c r="C73" s="127" t="s">
        <v>367</v>
      </c>
      <c r="D73" s="127" t="s">
        <v>187</v>
      </c>
      <c r="E73" s="127" t="s">
        <v>368</v>
      </c>
      <c r="F73" s="127" t="s">
        <v>189</v>
      </c>
      <c r="G73" s="127" t="s">
        <v>50</v>
      </c>
      <c r="H73" s="127" t="s">
        <v>51</v>
      </c>
      <c r="I73" s="128">
        <v>41.966344964117788</v>
      </c>
      <c r="J73" s="128">
        <v>278.29181499999999</v>
      </c>
      <c r="K73" s="128">
        <v>184.26690400000001</v>
      </c>
      <c r="L73" s="128">
        <v>116.683274</v>
      </c>
      <c r="M73" s="128">
        <v>89.338077999999996</v>
      </c>
      <c r="N73" s="128">
        <v>170.163701</v>
      </c>
      <c r="O73" s="128">
        <v>498.37010700000002</v>
      </c>
      <c r="P73" s="128">
        <v>0</v>
      </c>
      <c r="Q73" s="128">
        <v>4.6262999999999999E-2</v>
      </c>
      <c r="R73" s="128">
        <v>103.91103200000001</v>
      </c>
      <c r="S73" s="128">
        <v>47.306049999999999</v>
      </c>
      <c r="T73" s="128">
        <v>76.010676000000004</v>
      </c>
      <c r="U73" s="128">
        <v>441.35231299999998</v>
      </c>
      <c r="V73" s="128">
        <v>345.060498</v>
      </c>
      <c r="W73" s="128">
        <v>459</v>
      </c>
      <c r="X73" s="127" t="s">
        <v>52</v>
      </c>
      <c r="Y73" s="129">
        <v>46135</v>
      </c>
      <c r="Z73" s="127" t="s">
        <v>53</v>
      </c>
      <c r="AA73" s="127" t="s">
        <v>54</v>
      </c>
    </row>
    <row r="74" spans="1:27" ht="15.75" x14ac:dyDescent="0.25">
      <c r="A74" s="127" t="s">
        <v>369</v>
      </c>
      <c r="B74" s="127" t="s">
        <v>370</v>
      </c>
      <c r="C74" s="127" t="s">
        <v>371</v>
      </c>
      <c r="D74" s="127" t="s">
        <v>121</v>
      </c>
      <c r="E74" s="127" t="s">
        <v>372</v>
      </c>
      <c r="F74" s="127" t="s">
        <v>123</v>
      </c>
      <c r="G74" s="127" t="s">
        <v>79</v>
      </c>
      <c r="H74" s="127" t="s">
        <v>93</v>
      </c>
      <c r="I74" s="128">
        <v>1.875586854460094</v>
      </c>
      <c r="J74" s="128">
        <v>1.355872</v>
      </c>
      <c r="K74" s="128">
        <v>0.359431</v>
      </c>
      <c r="L74" s="128">
        <v>0.50533799999999995</v>
      </c>
      <c r="M74" s="128">
        <v>0.65836300000000003</v>
      </c>
      <c r="N74" s="128">
        <v>0.86476900000000001</v>
      </c>
      <c r="O74" s="128">
        <v>1.9288259999999999</v>
      </c>
      <c r="P74" s="128">
        <v>1.0676E-2</v>
      </c>
      <c r="Q74" s="128">
        <v>7.4732999999999994E-2</v>
      </c>
      <c r="R74" s="128">
        <v>0.55515999999999999</v>
      </c>
      <c r="S74" s="128">
        <v>0.33096100000000001</v>
      </c>
      <c r="T74" s="128">
        <v>0.44484000000000001</v>
      </c>
      <c r="U74" s="128">
        <v>1.5480430000000001</v>
      </c>
      <c r="V74" s="128">
        <v>1.754448</v>
      </c>
      <c r="W74" s="127"/>
      <c r="X74" s="127" t="s">
        <v>52</v>
      </c>
      <c r="Y74" s="129">
        <v>46086</v>
      </c>
      <c r="Z74" s="127" t="s">
        <v>111</v>
      </c>
      <c r="AA74" s="127" t="s">
        <v>54</v>
      </c>
    </row>
    <row r="75" spans="1:27" ht="15.75" x14ac:dyDescent="0.25">
      <c r="A75" s="127" t="s">
        <v>373</v>
      </c>
      <c r="B75" s="127" t="s">
        <v>374</v>
      </c>
      <c r="C75" s="127" t="s">
        <v>375</v>
      </c>
      <c r="D75" s="127" t="s">
        <v>376</v>
      </c>
      <c r="E75" s="127" t="s">
        <v>377</v>
      </c>
      <c r="F75" s="127" t="s">
        <v>378</v>
      </c>
      <c r="G75" s="127" t="s">
        <v>109</v>
      </c>
      <c r="H75" s="127" t="s">
        <v>93</v>
      </c>
      <c r="I75" s="128">
        <v>13.63233318405732</v>
      </c>
      <c r="J75" s="128">
        <v>63.270462999999999</v>
      </c>
      <c r="K75" s="128">
        <v>20.088968000000001</v>
      </c>
      <c r="L75" s="128">
        <v>7.4768679999999996</v>
      </c>
      <c r="M75" s="128">
        <v>15.014234999999999</v>
      </c>
      <c r="N75" s="128">
        <v>46.597864999999999</v>
      </c>
      <c r="O75" s="128">
        <v>59.252668999999997</v>
      </c>
      <c r="P75" s="128">
        <v>0</v>
      </c>
      <c r="Q75" s="128">
        <v>0</v>
      </c>
      <c r="R75" s="128">
        <v>17.188611999999999</v>
      </c>
      <c r="S75" s="128">
        <v>16.992882999999999</v>
      </c>
      <c r="T75" s="128">
        <v>18.594306</v>
      </c>
      <c r="U75" s="128">
        <v>53.074733000000002</v>
      </c>
      <c r="V75" s="128">
        <v>82.551601000000005</v>
      </c>
      <c r="W75" s="127"/>
      <c r="X75" s="127"/>
      <c r="Y75" s="130"/>
      <c r="Z75" s="127"/>
      <c r="AA75" s="127"/>
    </row>
    <row r="76" spans="1:27" ht="15.75" x14ac:dyDescent="0.25">
      <c r="A76" s="127" t="s">
        <v>379</v>
      </c>
      <c r="B76" s="127" t="s">
        <v>380</v>
      </c>
      <c r="C76" s="127" t="s">
        <v>381</v>
      </c>
      <c r="D76" s="127" t="s">
        <v>177</v>
      </c>
      <c r="E76" s="127" t="s">
        <v>382</v>
      </c>
      <c r="F76" s="127" t="s">
        <v>179</v>
      </c>
      <c r="G76" s="127" t="s">
        <v>109</v>
      </c>
      <c r="H76" s="127" t="s">
        <v>93</v>
      </c>
      <c r="I76" s="128">
        <v>6.2824595113917114</v>
      </c>
      <c r="J76" s="128">
        <v>59.117438</v>
      </c>
      <c r="K76" s="128">
        <v>12.516014</v>
      </c>
      <c r="L76" s="128">
        <v>4.0996439999999996</v>
      </c>
      <c r="M76" s="128">
        <v>5.2277579999999997</v>
      </c>
      <c r="N76" s="128">
        <v>10.508896999999999</v>
      </c>
      <c r="O76" s="128">
        <v>70.448398999999995</v>
      </c>
      <c r="P76" s="128">
        <v>3.5590000000000001E-3</v>
      </c>
      <c r="Q76" s="128">
        <v>0</v>
      </c>
      <c r="R76" s="128">
        <v>5.9822059999999997</v>
      </c>
      <c r="S76" s="128">
        <v>3.8362989999999999</v>
      </c>
      <c r="T76" s="128">
        <v>4.3807830000000001</v>
      </c>
      <c r="U76" s="128">
        <v>66.761565000000004</v>
      </c>
      <c r="V76" s="128">
        <v>40.366548000000002</v>
      </c>
      <c r="W76" s="127"/>
      <c r="X76" s="127"/>
      <c r="Y76" s="130"/>
      <c r="Z76" s="127"/>
      <c r="AA76" s="127"/>
    </row>
    <row r="77" spans="1:27" ht="15.75" x14ac:dyDescent="0.25">
      <c r="A77" s="127" t="s">
        <v>383</v>
      </c>
      <c r="B77" s="127" t="s">
        <v>384</v>
      </c>
      <c r="C77" s="127" t="s">
        <v>385</v>
      </c>
      <c r="D77" s="127" t="s">
        <v>85</v>
      </c>
      <c r="E77" s="127" t="s">
        <v>386</v>
      </c>
      <c r="F77" s="127" t="s">
        <v>87</v>
      </c>
      <c r="G77" s="127" t="s">
        <v>72</v>
      </c>
      <c r="H77" s="127" t="s">
        <v>51</v>
      </c>
      <c r="I77" s="128">
        <v>20.240437158469941</v>
      </c>
      <c r="J77" s="128">
        <v>39.035587</v>
      </c>
      <c r="K77" s="128">
        <v>6.1957300000000002</v>
      </c>
      <c r="L77" s="128">
        <v>1.6690389999999999</v>
      </c>
      <c r="M77" s="128">
        <v>0.39501799999999998</v>
      </c>
      <c r="N77" s="128">
        <v>0</v>
      </c>
      <c r="O77" s="128">
        <v>2.1351999999999999E-2</v>
      </c>
      <c r="P77" s="128">
        <v>1.957295</v>
      </c>
      <c r="Q77" s="128">
        <v>45.316726000000003</v>
      </c>
      <c r="R77" s="128">
        <v>1.3024910000000001</v>
      </c>
      <c r="S77" s="128">
        <v>1.0996440000000001</v>
      </c>
      <c r="T77" s="128">
        <v>1.6334519999999999</v>
      </c>
      <c r="U77" s="128">
        <v>43.259785999999998</v>
      </c>
      <c r="V77" s="128">
        <v>12.295374000000001</v>
      </c>
      <c r="W77" s="128">
        <v>70</v>
      </c>
      <c r="X77" s="127" t="s">
        <v>173</v>
      </c>
      <c r="Y77" s="131">
        <v>46035</v>
      </c>
      <c r="Z77" s="127" t="s">
        <v>309</v>
      </c>
      <c r="AA77" s="127" t="s">
        <v>54</v>
      </c>
    </row>
    <row r="78" spans="1:27" ht="15.75" x14ac:dyDescent="0.25">
      <c r="A78" s="127" t="s">
        <v>387</v>
      </c>
      <c r="B78" s="127" t="s">
        <v>388</v>
      </c>
      <c r="C78" s="127" t="s">
        <v>202</v>
      </c>
      <c r="D78" s="127" t="s">
        <v>203</v>
      </c>
      <c r="E78" s="127" t="s">
        <v>389</v>
      </c>
      <c r="F78" s="127" t="s">
        <v>205</v>
      </c>
      <c r="G78" s="127" t="s">
        <v>144</v>
      </c>
      <c r="H78" s="127" t="s">
        <v>93</v>
      </c>
      <c r="I78" s="128">
        <v>6.1913937058445727</v>
      </c>
      <c r="J78" s="128">
        <v>223.18149500000001</v>
      </c>
      <c r="K78" s="128">
        <v>74.601422999999997</v>
      </c>
      <c r="L78" s="128">
        <v>17</v>
      </c>
      <c r="M78" s="128">
        <v>22.800712000000001</v>
      </c>
      <c r="N78" s="128">
        <v>53.163701000000003</v>
      </c>
      <c r="O78" s="128">
        <v>279.003559</v>
      </c>
      <c r="P78" s="128">
        <v>0.37366500000000002</v>
      </c>
      <c r="Q78" s="128">
        <v>5.0427049999999998</v>
      </c>
      <c r="R78" s="128">
        <v>18.793593999999999</v>
      </c>
      <c r="S78" s="128">
        <v>18.252669000000001</v>
      </c>
      <c r="T78" s="128">
        <v>59.302491000000003</v>
      </c>
      <c r="U78" s="128">
        <v>241.23487600000001</v>
      </c>
      <c r="V78" s="128">
        <v>216.65480400000001</v>
      </c>
      <c r="W78" s="128">
        <v>392</v>
      </c>
      <c r="X78" s="127" t="s">
        <v>52</v>
      </c>
      <c r="Y78" s="129">
        <v>45701</v>
      </c>
      <c r="Z78" s="127" t="s">
        <v>53</v>
      </c>
      <c r="AA78" s="127" t="s">
        <v>54</v>
      </c>
    </row>
    <row r="79" spans="1:27" ht="15.75" x14ac:dyDescent="0.25">
      <c r="A79" s="127" t="s">
        <v>390</v>
      </c>
      <c r="B79" s="127" t="s">
        <v>388</v>
      </c>
      <c r="C79" s="127" t="s">
        <v>202</v>
      </c>
      <c r="D79" s="127" t="s">
        <v>203</v>
      </c>
      <c r="E79" s="127" t="s">
        <v>204</v>
      </c>
      <c r="F79" s="127" t="s">
        <v>205</v>
      </c>
      <c r="G79" s="127" t="s">
        <v>67</v>
      </c>
      <c r="H79" s="127" t="s">
        <v>51</v>
      </c>
      <c r="I79" s="128">
        <v>2.8849226878197389</v>
      </c>
      <c r="J79" s="128">
        <v>179.43060500000001</v>
      </c>
      <c r="K79" s="128">
        <v>69.202847000000006</v>
      </c>
      <c r="L79" s="128">
        <v>47.491103000000003</v>
      </c>
      <c r="M79" s="128">
        <v>66.323842999999997</v>
      </c>
      <c r="N79" s="128">
        <v>80.647687000000005</v>
      </c>
      <c r="O79" s="128">
        <v>262.46263399999998</v>
      </c>
      <c r="P79" s="128">
        <v>1.9537370000000001</v>
      </c>
      <c r="Q79" s="128">
        <v>17.384342</v>
      </c>
      <c r="R79" s="128">
        <v>51.900356000000002</v>
      </c>
      <c r="S79" s="128">
        <v>30.629892999999999</v>
      </c>
      <c r="T79" s="128">
        <v>60.092526999999997</v>
      </c>
      <c r="U79" s="128">
        <v>219.82562200000001</v>
      </c>
      <c r="V79" s="128">
        <v>282.608541</v>
      </c>
      <c r="W79" s="127"/>
      <c r="X79" s="127" t="s">
        <v>52</v>
      </c>
      <c r="Y79" s="129">
        <v>45456</v>
      </c>
      <c r="Z79" s="127" t="s">
        <v>53</v>
      </c>
      <c r="AA79" s="127" t="s">
        <v>54</v>
      </c>
    </row>
    <row r="80" spans="1:27" ht="15.75" x14ac:dyDescent="0.25">
      <c r="A80" s="127" t="s">
        <v>391</v>
      </c>
      <c r="B80" s="127" t="s">
        <v>392</v>
      </c>
      <c r="C80" s="127" t="s">
        <v>393</v>
      </c>
      <c r="D80" s="127" t="s">
        <v>376</v>
      </c>
      <c r="E80" s="127" t="s">
        <v>394</v>
      </c>
      <c r="F80" s="127" t="s">
        <v>378</v>
      </c>
      <c r="G80" s="127" t="s">
        <v>79</v>
      </c>
      <c r="H80" s="127" t="s">
        <v>93</v>
      </c>
      <c r="I80" s="128">
        <v>1.972972972972973</v>
      </c>
      <c r="J80" s="128">
        <v>1.153025</v>
      </c>
      <c r="K80" s="128">
        <v>0.59074700000000002</v>
      </c>
      <c r="L80" s="128">
        <v>6.4057000000000003E-2</v>
      </c>
      <c r="M80" s="128">
        <v>3.2028000000000001E-2</v>
      </c>
      <c r="N80" s="128">
        <v>0.44839899999999999</v>
      </c>
      <c r="O80" s="128">
        <v>1.2348749999999999</v>
      </c>
      <c r="P80" s="128">
        <v>1.7794000000000001E-2</v>
      </c>
      <c r="Q80" s="128">
        <v>0.13879</v>
      </c>
      <c r="R80" s="128">
        <v>8.8968000000000005E-2</v>
      </c>
      <c r="S80" s="128">
        <v>0.156584</v>
      </c>
      <c r="T80" s="128">
        <v>0.37366500000000002</v>
      </c>
      <c r="U80" s="128">
        <v>1.2206410000000001</v>
      </c>
      <c r="V80" s="128">
        <v>0.90035600000000005</v>
      </c>
      <c r="W80" s="127"/>
      <c r="X80" s="127" t="s">
        <v>173</v>
      </c>
      <c r="Y80" s="131">
        <v>46016</v>
      </c>
      <c r="Z80" s="127" t="s">
        <v>95</v>
      </c>
      <c r="AA80" s="127" t="s">
        <v>54</v>
      </c>
    </row>
    <row r="81" spans="1:27" ht="15.75" x14ac:dyDescent="0.25">
      <c r="A81" s="127" t="s">
        <v>395</v>
      </c>
      <c r="B81" s="127" t="s">
        <v>396</v>
      </c>
      <c r="C81" s="127" t="s">
        <v>397</v>
      </c>
      <c r="D81" s="127" t="s">
        <v>376</v>
      </c>
      <c r="E81" s="127" t="s">
        <v>398</v>
      </c>
      <c r="F81" s="127" t="s">
        <v>378</v>
      </c>
      <c r="G81" s="127" t="s">
        <v>50</v>
      </c>
      <c r="H81" s="127" t="s">
        <v>51</v>
      </c>
      <c r="I81" s="128">
        <v>37.606311433005693</v>
      </c>
      <c r="J81" s="128">
        <v>145.55516</v>
      </c>
      <c r="K81" s="128">
        <v>39.978648</v>
      </c>
      <c r="L81" s="128">
        <v>51.701067999999999</v>
      </c>
      <c r="M81" s="128">
        <v>44.039146000000002</v>
      </c>
      <c r="N81" s="128">
        <v>80.462632999999997</v>
      </c>
      <c r="O81" s="128">
        <v>200.81138799999999</v>
      </c>
      <c r="P81" s="128">
        <v>0</v>
      </c>
      <c r="Q81" s="128">
        <v>0</v>
      </c>
      <c r="R81" s="128">
        <v>39.758006999999999</v>
      </c>
      <c r="S81" s="128">
        <v>31.608540999999999</v>
      </c>
      <c r="T81" s="128">
        <v>27.619216999999999</v>
      </c>
      <c r="U81" s="128">
        <v>182.28825599999999</v>
      </c>
      <c r="V81" s="128">
        <v>157.718861</v>
      </c>
      <c r="W81" s="128">
        <v>338</v>
      </c>
      <c r="X81" s="127" t="s">
        <v>52</v>
      </c>
      <c r="Y81" s="129">
        <v>46177</v>
      </c>
      <c r="Z81" s="127" t="s">
        <v>53</v>
      </c>
      <c r="AA81" s="127" t="s">
        <v>54</v>
      </c>
    </row>
    <row r="82" spans="1:27" ht="15.75" x14ac:dyDescent="0.25">
      <c r="A82" s="127" t="s">
        <v>399</v>
      </c>
      <c r="B82" s="127" t="s">
        <v>400</v>
      </c>
      <c r="C82" s="127" t="s">
        <v>397</v>
      </c>
      <c r="D82" s="127" t="s">
        <v>376</v>
      </c>
      <c r="E82" s="127" t="s">
        <v>398</v>
      </c>
      <c r="F82" s="127" t="s">
        <v>378</v>
      </c>
      <c r="G82" s="127" t="s">
        <v>50</v>
      </c>
      <c r="H82" s="127" t="s">
        <v>51</v>
      </c>
      <c r="I82" s="128">
        <v>34.552765126870533</v>
      </c>
      <c r="J82" s="128">
        <v>810.90391499999998</v>
      </c>
      <c r="K82" s="128">
        <v>161.003559</v>
      </c>
      <c r="L82" s="128">
        <v>155.38078300000001</v>
      </c>
      <c r="M82" s="128">
        <v>124.953737</v>
      </c>
      <c r="N82" s="128">
        <v>244.94306</v>
      </c>
      <c r="O82" s="128">
        <v>1007.298932</v>
      </c>
      <c r="P82" s="128">
        <v>0</v>
      </c>
      <c r="Q82" s="128">
        <v>0</v>
      </c>
      <c r="R82" s="128">
        <v>97.790036000000001</v>
      </c>
      <c r="S82" s="128">
        <v>82.957295000000002</v>
      </c>
      <c r="T82" s="128">
        <v>140.106762</v>
      </c>
      <c r="U82" s="128">
        <v>931.38789999999995</v>
      </c>
      <c r="V82" s="128">
        <v>666.51245600000004</v>
      </c>
      <c r="W82" s="128">
        <v>1308</v>
      </c>
      <c r="X82" s="127" t="s">
        <v>52</v>
      </c>
      <c r="Y82" s="129">
        <v>46177</v>
      </c>
      <c r="Z82" s="127" t="s">
        <v>309</v>
      </c>
      <c r="AA82" s="127" t="s">
        <v>54</v>
      </c>
    </row>
    <row r="83" spans="1:27" ht="15.75" x14ac:dyDescent="0.25">
      <c r="A83" s="127" t="s">
        <v>401</v>
      </c>
      <c r="B83" s="127" t="s">
        <v>402</v>
      </c>
      <c r="C83" s="127" t="s">
        <v>397</v>
      </c>
      <c r="D83" s="127" t="s">
        <v>376</v>
      </c>
      <c r="E83" s="127" t="s">
        <v>398</v>
      </c>
      <c r="F83" s="127" t="s">
        <v>378</v>
      </c>
      <c r="G83" s="127" t="s">
        <v>50</v>
      </c>
      <c r="H83" s="127" t="s">
        <v>51</v>
      </c>
      <c r="I83" s="128">
        <v>33.977141721327769</v>
      </c>
      <c r="J83" s="128">
        <v>373.45551599999999</v>
      </c>
      <c r="K83" s="128">
        <v>119.370107</v>
      </c>
      <c r="L83" s="128">
        <v>104.637011</v>
      </c>
      <c r="M83" s="128">
        <v>67.811387999999994</v>
      </c>
      <c r="N83" s="128">
        <v>159.864769</v>
      </c>
      <c r="O83" s="128">
        <v>505.37366500000002</v>
      </c>
      <c r="P83" s="128">
        <v>3.5587000000000001E-2</v>
      </c>
      <c r="Q83" s="128">
        <v>0</v>
      </c>
      <c r="R83" s="128">
        <v>64.829181000000005</v>
      </c>
      <c r="S83" s="128">
        <v>57.797153000000002</v>
      </c>
      <c r="T83" s="128">
        <v>80.747331000000003</v>
      </c>
      <c r="U83" s="128">
        <v>461.90035599999999</v>
      </c>
      <c r="V83" s="128">
        <v>354.31672600000002</v>
      </c>
      <c r="W83" s="128">
        <v>544</v>
      </c>
      <c r="X83" s="127" t="s">
        <v>52</v>
      </c>
      <c r="Y83" s="129" t="s">
        <v>1147</v>
      </c>
      <c r="Z83" s="127" t="s">
        <v>53</v>
      </c>
      <c r="AA83" s="127" t="s">
        <v>54</v>
      </c>
    </row>
    <row r="84" spans="1:27" ht="15.75" x14ac:dyDescent="0.25">
      <c r="A84" s="127" t="s">
        <v>403</v>
      </c>
      <c r="B84" s="127" t="s">
        <v>404</v>
      </c>
      <c r="C84" s="127" t="s">
        <v>405</v>
      </c>
      <c r="D84" s="127" t="s">
        <v>177</v>
      </c>
      <c r="E84" s="127" t="s">
        <v>406</v>
      </c>
      <c r="F84" s="127" t="s">
        <v>179</v>
      </c>
      <c r="G84" s="127" t="s">
        <v>79</v>
      </c>
      <c r="H84" s="127"/>
      <c r="I84" s="128">
        <v>1.5330578512396691</v>
      </c>
      <c r="J84" s="128">
        <v>0.74733099999999997</v>
      </c>
      <c r="K84" s="128">
        <v>0.29893199999999998</v>
      </c>
      <c r="L84" s="128">
        <v>0.170819</v>
      </c>
      <c r="M84" s="128">
        <v>0.103203</v>
      </c>
      <c r="N84" s="128">
        <v>0.16725999999999999</v>
      </c>
      <c r="O84" s="128">
        <v>1.0889679999999999</v>
      </c>
      <c r="P84" s="128">
        <v>0</v>
      </c>
      <c r="Q84" s="128">
        <v>6.4057000000000003E-2</v>
      </c>
      <c r="R84" s="128">
        <v>0.117438</v>
      </c>
      <c r="S84" s="128">
        <v>6.7615999999999996E-2</v>
      </c>
      <c r="T84" s="128">
        <v>0.22419900000000001</v>
      </c>
      <c r="U84" s="128">
        <v>0.91103199999999995</v>
      </c>
      <c r="V84" s="128">
        <v>0.68327400000000005</v>
      </c>
      <c r="W84" s="127"/>
      <c r="X84" s="127"/>
      <c r="Y84" s="130" t="s">
        <v>138</v>
      </c>
      <c r="Z84" s="127"/>
      <c r="AA84" s="127"/>
    </row>
    <row r="85" spans="1:27" ht="15.75" x14ac:dyDescent="0.25">
      <c r="A85" s="127" t="s">
        <v>407</v>
      </c>
      <c r="B85" s="127" t="s">
        <v>408</v>
      </c>
      <c r="C85" s="127" t="s">
        <v>409</v>
      </c>
      <c r="D85" s="127" t="s">
        <v>272</v>
      </c>
      <c r="E85" s="127" t="s">
        <v>410</v>
      </c>
      <c r="F85" s="127" t="s">
        <v>150</v>
      </c>
      <c r="G85" s="127" t="s">
        <v>72</v>
      </c>
      <c r="H85" s="127" t="s">
        <v>51</v>
      </c>
      <c r="I85" s="128">
        <v>23.87796610169492</v>
      </c>
      <c r="J85" s="128">
        <v>23.185053</v>
      </c>
      <c r="K85" s="128">
        <v>15.562277999999999</v>
      </c>
      <c r="L85" s="128">
        <v>13.683274000000001</v>
      </c>
      <c r="M85" s="128">
        <v>13.960853999999999</v>
      </c>
      <c r="N85" s="128">
        <v>28.750889999999998</v>
      </c>
      <c r="O85" s="128">
        <v>37.640568999999999</v>
      </c>
      <c r="P85" s="128">
        <v>0</v>
      </c>
      <c r="Q85" s="128">
        <v>0</v>
      </c>
      <c r="R85" s="128">
        <v>20.978648</v>
      </c>
      <c r="S85" s="128">
        <v>5.0925269999999996</v>
      </c>
      <c r="T85" s="128">
        <v>8.8327399999999994</v>
      </c>
      <c r="U85" s="128">
        <v>31.487545000000001</v>
      </c>
      <c r="V85" s="128">
        <v>42.320284999999998</v>
      </c>
      <c r="W85" s="127"/>
      <c r="X85" s="127" t="s">
        <v>52</v>
      </c>
      <c r="Y85" s="129">
        <v>45722</v>
      </c>
      <c r="Z85" s="127" t="s">
        <v>95</v>
      </c>
      <c r="AA85" s="127" t="s">
        <v>54</v>
      </c>
    </row>
    <row r="86" spans="1:27" ht="15.75" x14ac:dyDescent="0.25">
      <c r="A86" s="127" t="s">
        <v>411</v>
      </c>
      <c r="B86" s="127" t="s">
        <v>412</v>
      </c>
      <c r="C86" s="127" t="s">
        <v>413</v>
      </c>
      <c r="D86" s="127" t="s">
        <v>246</v>
      </c>
      <c r="E86" s="127" t="s">
        <v>414</v>
      </c>
      <c r="F86" s="127" t="s">
        <v>123</v>
      </c>
      <c r="G86" s="127" t="s">
        <v>79</v>
      </c>
      <c r="H86" s="127" t="s">
        <v>93</v>
      </c>
      <c r="I86" s="128">
        <v>2.447019867549669</v>
      </c>
      <c r="J86" s="128">
        <v>5.2313169999999998</v>
      </c>
      <c r="K86" s="128">
        <v>0.72953699999999999</v>
      </c>
      <c r="L86" s="128">
        <v>1.042705</v>
      </c>
      <c r="M86" s="128">
        <v>0.89323799999999998</v>
      </c>
      <c r="N86" s="128">
        <v>1.754448</v>
      </c>
      <c r="O86" s="128">
        <v>5.2419929999999999</v>
      </c>
      <c r="P86" s="128">
        <v>0.12811400000000001</v>
      </c>
      <c r="Q86" s="128">
        <v>0.77224199999999998</v>
      </c>
      <c r="R86" s="128">
        <v>0.67971499999999996</v>
      </c>
      <c r="S86" s="128">
        <v>0.57651200000000002</v>
      </c>
      <c r="T86" s="128">
        <v>1.2419929999999999</v>
      </c>
      <c r="U86" s="128">
        <v>5.3985770000000004</v>
      </c>
      <c r="V86" s="128">
        <v>4.9181489999999997</v>
      </c>
      <c r="W86" s="127"/>
      <c r="X86" s="127"/>
      <c r="Y86" s="130" t="s">
        <v>138</v>
      </c>
      <c r="Z86" s="127"/>
      <c r="AA86" s="127"/>
    </row>
    <row r="87" spans="1:27" ht="15.75" x14ac:dyDescent="0.25">
      <c r="A87" s="127" t="s">
        <v>415</v>
      </c>
      <c r="B87" s="127" t="s">
        <v>416</v>
      </c>
      <c r="C87" s="127" t="s">
        <v>417</v>
      </c>
      <c r="D87" s="127" t="s">
        <v>241</v>
      </c>
      <c r="E87" s="127" t="s">
        <v>418</v>
      </c>
      <c r="F87" s="127" t="s">
        <v>117</v>
      </c>
      <c r="G87" s="127" t="s">
        <v>72</v>
      </c>
      <c r="H87" s="127" t="s">
        <v>93</v>
      </c>
      <c r="I87" s="128">
        <v>1.734597156398104</v>
      </c>
      <c r="J87" s="128">
        <v>0.96441299999999996</v>
      </c>
      <c r="K87" s="128">
        <v>3.5587000000000001E-2</v>
      </c>
      <c r="L87" s="128">
        <v>1.0676E-2</v>
      </c>
      <c r="M87" s="128">
        <v>1.4234999999999999E-2</v>
      </c>
      <c r="N87" s="128">
        <v>8.1850999999999993E-2</v>
      </c>
      <c r="O87" s="128">
        <v>0.88256299999999999</v>
      </c>
      <c r="P87" s="128">
        <v>0</v>
      </c>
      <c r="Q87" s="128">
        <v>6.0498000000000003E-2</v>
      </c>
      <c r="R87" s="128">
        <v>7.1170000000000001E-3</v>
      </c>
      <c r="S87" s="128">
        <v>1.4234999999999999E-2</v>
      </c>
      <c r="T87" s="128">
        <v>8.5408999999999999E-2</v>
      </c>
      <c r="U87" s="128">
        <v>0.91814899999999999</v>
      </c>
      <c r="V87" s="128">
        <v>0.37010700000000002</v>
      </c>
      <c r="W87" s="127"/>
      <c r="X87" s="127" t="s">
        <v>110</v>
      </c>
      <c r="Y87" s="129">
        <v>45883</v>
      </c>
      <c r="Z87" s="127" t="s">
        <v>111</v>
      </c>
      <c r="AA87" s="127" t="s">
        <v>54</v>
      </c>
    </row>
    <row r="88" spans="1:27" ht="15.75" x14ac:dyDescent="0.25">
      <c r="A88" s="127" t="s">
        <v>419</v>
      </c>
      <c r="B88" s="127" t="s">
        <v>420</v>
      </c>
      <c r="C88" s="127" t="s">
        <v>421</v>
      </c>
      <c r="D88" s="127" t="s">
        <v>154</v>
      </c>
      <c r="E88" s="127" t="s">
        <v>422</v>
      </c>
      <c r="F88" s="127" t="s">
        <v>156</v>
      </c>
      <c r="G88" s="127" t="s">
        <v>79</v>
      </c>
      <c r="H88" s="127" t="s">
        <v>93</v>
      </c>
      <c r="I88" s="128">
        <v>82.576271186440678</v>
      </c>
      <c r="J88" s="128">
        <v>14.647686999999999</v>
      </c>
      <c r="K88" s="128">
        <v>0.60498200000000002</v>
      </c>
      <c r="L88" s="128">
        <v>0.63701099999999999</v>
      </c>
      <c r="M88" s="128">
        <v>1.174377</v>
      </c>
      <c r="N88" s="128">
        <v>2.2064059999999999</v>
      </c>
      <c r="O88" s="128">
        <v>8.9003560000000004</v>
      </c>
      <c r="P88" s="128">
        <v>0.70818499999999995</v>
      </c>
      <c r="Q88" s="128">
        <v>5.2491099999999999</v>
      </c>
      <c r="R88" s="128">
        <v>2.7793589999999999</v>
      </c>
      <c r="S88" s="128">
        <v>5.6939999999999998E-2</v>
      </c>
      <c r="T88" s="128">
        <v>0.94306000000000001</v>
      </c>
      <c r="U88" s="128">
        <v>13.284698000000001</v>
      </c>
      <c r="V88" s="128">
        <v>9.2419930000000008</v>
      </c>
      <c r="W88" s="127"/>
      <c r="X88" s="127" t="s">
        <v>52</v>
      </c>
      <c r="Y88" s="129">
        <v>45687</v>
      </c>
      <c r="Z88" s="127" t="s">
        <v>95</v>
      </c>
      <c r="AA88" s="127" t="s">
        <v>54</v>
      </c>
    </row>
    <row r="89" spans="1:27" ht="15.75" x14ac:dyDescent="0.25">
      <c r="A89" s="127" t="s">
        <v>423</v>
      </c>
      <c r="B89" s="127" t="s">
        <v>424</v>
      </c>
      <c r="C89" s="127" t="s">
        <v>425</v>
      </c>
      <c r="D89" s="127" t="s">
        <v>85</v>
      </c>
      <c r="E89" s="127" t="s">
        <v>426</v>
      </c>
      <c r="F89" s="127" t="s">
        <v>87</v>
      </c>
      <c r="G89" s="127" t="s">
        <v>72</v>
      </c>
      <c r="H89" s="127" t="s">
        <v>93</v>
      </c>
      <c r="I89" s="128">
        <v>46.224833529181353</v>
      </c>
      <c r="J89" s="128">
        <v>352.51601399999998</v>
      </c>
      <c r="K89" s="128">
        <v>108.765125</v>
      </c>
      <c r="L89" s="128">
        <v>5.7188610000000004</v>
      </c>
      <c r="M89" s="128">
        <v>7.4555160000000003</v>
      </c>
      <c r="N89" s="128">
        <v>43.010675999999997</v>
      </c>
      <c r="O89" s="128">
        <v>431.44484</v>
      </c>
      <c r="P89" s="128">
        <v>0</v>
      </c>
      <c r="Q89" s="128">
        <v>0</v>
      </c>
      <c r="R89" s="128">
        <v>17.540925000000001</v>
      </c>
      <c r="S89" s="128">
        <v>17.807829000000002</v>
      </c>
      <c r="T89" s="128">
        <v>34.281139000000003</v>
      </c>
      <c r="U89" s="128">
        <v>404.82562300000001</v>
      </c>
      <c r="V89" s="128">
        <v>231.76512500000001</v>
      </c>
      <c r="W89" s="128">
        <v>500</v>
      </c>
      <c r="X89" s="127" t="s">
        <v>52</v>
      </c>
      <c r="Y89" s="129">
        <v>46086</v>
      </c>
      <c r="Z89" s="127" t="s">
        <v>95</v>
      </c>
      <c r="AA89" s="127" t="s">
        <v>54</v>
      </c>
    </row>
    <row r="90" spans="1:27" ht="15.75" x14ac:dyDescent="0.25">
      <c r="A90" s="127" t="s">
        <v>427</v>
      </c>
      <c r="B90" s="127" t="s">
        <v>428</v>
      </c>
      <c r="C90" s="127" t="s">
        <v>213</v>
      </c>
      <c r="D90" s="127" t="s">
        <v>58</v>
      </c>
      <c r="E90" s="127" t="s">
        <v>214</v>
      </c>
      <c r="F90" s="127" t="s">
        <v>172</v>
      </c>
      <c r="G90" s="127" t="s">
        <v>61</v>
      </c>
      <c r="H90" s="127" t="s">
        <v>51</v>
      </c>
      <c r="I90" s="128">
        <v>69.061421116017669</v>
      </c>
      <c r="J90" s="128">
        <v>227.47331</v>
      </c>
      <c r="K90" s="128">
        <v>53.387900000000002</v>
      </c>
      <c r="L90" s="128">
        <v>145.469751</v>
      </c>
      <c r="M90" s="128">
        <v>170.391459</v>
      </c>
      <c r="N90" s="128">
        <v>226.36654799999999</v>
      </c>
      <c r="O90" s="128">
        <v>370.35587199999998</v>
      </c>
      <c r="P90" s="128">
        <v>0</v>
      </c>
      <c r="Q90" s="128">
        <v>0</v>
      </c>
      <c r="R90" s="128">
        <v>168.90035599999999</v>
      </c>
      <c r="S90" s="128">
        <v>53.925266999999998</v>
      </c>
      <c r="T90" s="128">
        <v>46.946618999999998</v>
      </c>
      <c r="U90" s="128">
        <v>326.95017799999999</v>
      </c>
      <c r="V90" s="128">
        <v>245.32384300000001</v>
      </c>
      <c r="W90" s="128">
        <v>560</v>
      </c>
      <c r="X90" s="127" t="s">
        <v>52</v>
      </c>
      <c r="Y90" s="129">
        <v>45687</v>
      </c>
      <c r="Z90" s="127" t="s">
        <v>53</v>
      </c>
      <c r="AA90" s="127" t="s">
        <v>54</v>
      </c>
    </row>
    <row r="91" spans="1:27" ht="15.75" x14ac:dyDescent="0.25">
      <c r="A91" s="127" t="s">
        <v>429</v>
      </c>
      <c r="B91" s="127" t="s">
        <v>430</v>
      </c>
      <c r="C91" s="127" t="s">
        <v>431</v>
      </c>
      <c r="D91" s="127" t="s">
        <v>148</v>
      </c>
      <c r="E91" s="127" t="s">
        <v>432</v>
      </c>
      <c r="F91" s="127" t="s">
        <v>150</v>
      </c>
      <c r="G91" s="127" t="s">
        <v>79</v>
      </c>
      <c r="H91" s="127" t="s">
        <v>93</v>
      </c>
      <c r="I91" s="128">
        <v>16.462962962962958</v>
      </c>
      <c r="J91" s="128">
        <v>6.992883</v>
      </c>
      <c r="K91" s="128">
        <v>6.0747330000000002</v>
      </c>
      <c r="L91" s="128">
        <v>4.5729540000000002</v>
      </c>
      <c r="M91" s="128">
        <v>1.377224</v>
      </c>
      <c r="N91" s="128">
        <v>4.309609</v>
      </c>
      <c r="O91" s="128">
        <v>11.640568999999999</v>
      </c>
      <c r="P91" s="128">
        <v>0.66547999999999996</v>
      </c>
      <c r="Q91" s="128">
        <v>2.4021349999999999</v>
      </c>
      <c r="R91" s="128">
        <v>1.498221</v>
      </c>
      <c r="S91" s="128">
        <v>2.839858</v>
      </c>
      <c r="T91" s="128">
        <v>3.309609</v>
      </c>
      <c r="U91" s="128">
        <v>11.370107000000001</v>
      </c>
      <c r="V91" s="128">
        <v>11.039146000000001</v>
      </c>
      <c r="W91" s="127"/>
      <c r="X91" s="127" t="s">
        <v>52</v>
      </c>
      <c r="Y91" s="129">
        <v>46100</v>
      </c>
      <c r="Z91" s="127" t="s">
        <v>111</v>
      </c>
      <c r="AA91" s="127" t="s">
        <v>54</v>
      </c>
    </row>
    <row r="92" spans="1:27" ht="15.75" x14ac:dyDescent="0.25">
      <c r="A92" s="127" t="s">
        <v>433</v>
      </c>
      <c r="B92" s="127" t="s">
        <v>434</v>
      </c>
      <c r="C92" s="127" t="s">
        <v>435</v>
      </c>
      <c r="D92" s="127" t="s">
        <v>121</v>
      </c>
      <c r="E92" s="127" t="s">
        <v>436</v>
      </c>
      <c r="F92" s="127" t="s">
        <v>123</v>
      </c>
      <c r="G92" s="127" t="s">
        <v>79</v>
      </c>
      <c r="H92" s="127" t="s">
        <v>93</v>
      </c>
      <c r="I92" s="128">
        <v>36.054862842892767</v>
      </c>
      <c r="J92" s="128">
        <v>110.72953699999999</v>
      </c>
      <c r="K92" s="128">
        <v>12.177936000000001</v>
      </c>
      <c r="L92" s="128">
        <v>25.010676</v>
      </c>
      <c r="M92" s="128">
        <v>12.483986</v>
      </c>
      <c r="N92" s="128">
        <v>3.9003559999999999</v>
      </c>
      <c r="O92" s="128">
        <v>5.7366549999999998</v>
      </c>
      <c r="P92" s="128">
        <v>24.220641000000001</v>
      </c>
      <c r="Q92" s="128">
        <v>126.544484</v>
      </c>
      <c r="R92" s="128">
        <v>13.192171</v>
      </c>
      <c r="S92" s="128">
        <v>10.391458999999999</v>
      </c>
      <c r="T92" s="128">
        <v>12.505338</v>
      </c>
      <c r="U92" s="128">
        <v>124.31316700000001</v>
      </c>
      <c r="V92" s="128">
        <v>76.149466000000004</v>
      </c>
      <c r="W92" s="127"/>
      <c r="X92" s="127" t="s">
        <v>110</v>
      </c>
      <c r="Y92" s="129">
        <v>45861</v>
      </c>
      <c r="Z92" s="127" t="s">
        <v>111</v>
      </c>
      <c r="AA92" s="127" t="s">
        <v>54</v>
      </c>
    </row>
    <row r="93" spans="1:27" ht="15.75" x14ac:dyDescent="0.25">
      <c r="A93" s="127" t="s">
        <v>437</v>
      </c>
      <c r="B93" s="127" t="s">
        <v>438</v>
      </c>
      <c r="C93" s="127" t="s">
        <v>439</v>
      </c>
      <c r="D93" s="127" t="s">
        <v>440</v>
      </c>
      <c r="E93" s="127" t="s">
        <v>441</v>
      </c>
      <c r="F93" s="127" t="s">
        <v>123</v>
      </c>
      <c r="G93" s="127" t="s">
        <v>79</v>
      </c>
      <c r="H93" s="127" t="s">
        <v>93</v>
      </c>
      <c r="I93" s="128">
        <v>21.019987699876999</v>
      </c>
      <c r="J93" s="128">
        <v>168.64768699999999</v>
      </c>
      <c r="K93" s="128">
        <v>24.362988999999999</v>
      </c>
      <c r="L93" s="128">
        <v>30.629892999999999</v>
      </c>
      <c r="M93" s="128">
        <v>30.014234999999999</v>
      </c>
      <c r="N93" s="128">
        <v>45.758006999999999</v>
      </c>
      <c r="O93" s="128">
        <v>179.04270500000001</v>
      </c>
      <c r="P93" s="128">
        <v>4.6441280000000003</v>
      </c>
      <c r="Q93" s="128">
        <v>24.209963999999999</v>
      </c>
      <c r="R93" s="128">
        <v>22.918149</v>
      </c>
      <c r="S93" s="128">
        <v>14.900356</v>
      </c>
      <c r="T93" s="128">
        <v>30.914591000000001</v>
      </c>
      <c r="U93" s="128">
        <v>184.921708</v>
      </c>
      <c r="V93" s="128">
        <v>133.60498200000001</v>
      </c>
      <c r="W93" s="127"/>
      <c r="X93" s="127" t="s">
        <v>110</v>
      </c>
      <c r="Y93" s="129">
        <v>46149</v>
      </c>
      <c r="Z93" s="127" t="s">
        <v>111</v>
      </c>
      <c r="AA93" s="127" t="s">
        <v>54</v>
      </c>
    </row>
    <row r="94" spans="1:27" ht="15.75" x14ac:dyDescent="0.25">
      <c r="A94" s="127" t="s">
        <v>442</v>
      </c>
      <c r="B94" s="127" t="s">
        <v>443</v>
      </c>
      <c r="C94" s="127" t="s">
        <v>444</v>
      </c>
      <c r="D94" s="127" t="s">
        <v>198</v>
      </c>
      <c r="E94" s="127" t="s">
        <v>445</v>
      </c>
      <c r="F94" s="127" t="s">
        <v>150</v>
      </c>
      <c r="G94" s="127" t="s">
        <v>79</v>
      </c>
      <c r="H94" s="127" t="s">
        <v>93</v>
      </c>
      <c r="I94" s="128">
        <v>8.8171428571428567</v>
      </c>
      <c r="J94" s="128">
        <v>3.964413</v>
      </c>
      <c r="K94" s="128">
        <v>3.5551599999999999</v>
      </c>
      <c r="L94" s="128">
        <v>1.9466190000000001</v>
      </c>
      <c r="M94" s="128">
        <v>2.2989320000000002</v>
      </c>
      <c r="N94" s="128">
        <v>5.4163699999999997</v>
      </c>
      <c r="O94" s="128">
        <v>5.8078289999999999</v>
      </c>
      <c r="P94" s="128">
        <v>0.23131699999999999</v>
      </c>
      <c r="Q94" s="128">
        <v>0.30960900000000002</v>
      </c>
      <c r="R94" s="128">
        <v>1.9110320000000001</v>
      </c>
      <c r="S94" s="128">
        <v>2.7864770000000001</v>
      </c>
      <c r="T94" s="128">
        <v>2.9893239999999999</v>
      </c>
      <c r="U94" s="128">
        <v>4.0782920000000003</v>
      </c>
      <c r="V94" s="128">
        <v>10.743772</v>
      </c>
      <c r="W94" s="127"/>
      <c r="X94" s="127" t="s">
        <v>52</v>
      </c>
      <c r="Y94" s="129" t="s">
        <v>94</v>
      </c>
      <c r="Z94" s="127" t="s">
        <v>95</v>
      </c>
      <c r="AA94" s="127" t="s">
        <v>54</v>
      </c>
    </row>
    <row r="95" spans="1:27" ht="15.75" x14ac:dyDescent="0.25">
      <c r="A95" s="127" t="s">
        <v>446</v>
      </c>
      <c r="B95" s="127" t="s">
        <v>447</v>
      </c>
      <c r="C95" s="127" t="s">
        <v>448</v>
      </c>
      <c r="D95" s="127" t="s">
        <v>47</v>
      </c>
      <c r="E95" s="127" t="s">
        <v>449</v>
      </c>
      <c r="F95" s="127" t="s">
        <v>49</v>
      </c>
      <c r="G95" s="127" t="s">
        <v>72</v>
      </c>
      <c r="H95" s="127" t="s">
        <v>93</v>
      </c>
      <c r="I95" s="128">
        <v>1.738387978142077</v>
      </c>
      <c r="J95" s="128">
        <v>19.128114</v>
      </c>
      <c r="K95" s="128">
        <v>4.8291810000000002</v>
      </c>
      <c r="L95" s="128">
        <v>1.718861</v>
      </c>
      <c r="M95" s="128">
        <v>1.3665480000000001</v>
      </c>
      <c r="N95" s="128">
        <v>3.2277580000000001</v>
      </c>
      <c r="O95" s="128">
        <v>20.377223999999998</v>
      </c>
      <c r="P95" s="128">
        <v>0.16014200000000001</v>
      </c>
      <c r="Q95" s="128">
        <v>3.2775799999999999</v>
      </c>
      <c r="R95" s="128">
        <v>1.007117</v>
      </c>
      <c r="S95" s="128">
        <v>1.202847</v>
      </c>
      <c r="T95" s="128">
        <v>1.9679720000000001</v>
      </c>
      <c r="U95" s="128">
        <v>22.864768000000002</v>
      </c>
      <c r="V95" s="128">
        <v>17.608540999999999</v>
      </c>
      <c r="W95" s="127"/>
      <c r="X95" s="127" t="s">
        <v>110</v>
      </c>
      <c r="Y95" s="129" t="s">
        <v>138</v>
      </c>
      <c r="Z95" s="127" t="s">
        <v>95</v>
      </c>
      <c r="AA95" s="127" t="s">
        <v>54</v>
      </c>
    </row>
    <row r="96" spans="1:27" ht="15.75" x14ac:dyDescent="0.25">
      <c r="A96" s="127" t="s">
        <v>450</v>
      </c>
      <c r="B96" s="127" t="s">
        <v>451</v>
      </c>
      <c r="C96" s="127" t="s">
        <v>452</v>
      </c>
      <c r="D96" s="127" t="s">
        <v>453</v>
      </c>
      <c r="E96" s="127" t="s">
        <v>454</v>
      </c>
      <c r="F96" s="127" t="s">
        <v>150</v>
      </c>
      <c r="G96" s="127" t="s">
        <v>79</v>
      </c>
      <c r="H96" s="127" t="s">
        <v>93</v>
      </c>
      <c r="I96" s="128">
        <v>29.285714285714281</v>
      </c>
      <c r="J96" s="128">
        <v>18.199287999999999</v>
      </c>
      <c r="K96" s="128">
        <v>5.8220640000000001</v>
      </c>
      <c r="L96" s="128">
        <v>9.2562280000000001</v>
      </c>
      <c r="M96" s="128">
        <v>11.071173999999999</v>
      </c>
      <c r="N96" s="128">
        <v>21.007117000000001</v>
      </c>
      <c r="O96" s="128">
        <v>22.149466</v>
      </c>
      <c r="P96" s="128">
        <v>0.58362999999999998</v>
      </c>
      <c r="Q96" s="128">
        <v>0.608541</v>
      </c>
      <c r="R96" s="128">
        <v>12.142348999999999</v>
      </c>
      <c r="S96" s="128">
        <v>5.0889680000000004</v>
      </c>
      <c r="T96" s="128">
        <v>9.6548040000000004</v>
      </c>
      <c r="U96" s="128">
        <v>17.462633</v>
      </c>
      <c r="V96" s="128">
        <v>26.487544</v>
      </c>
      <c r="W96" s="127"/>
      <c r="X96" s="127" t="s">
        <v>80</v>
      </c>
      <c r="Y96" s="129" t="s">
        <v>94</v>
      </c>
      <c r="Z96" s="127" t="s">
        <v>81</v>
      </c>
      <c r="AA96" s="127" t="s">
        <v>54</v>
      </c>
    </row>
    <row r="97" spans="1:27" ht="15.75" x14ac:dyDescent="0.25">
      <c r="A97" s="127" t="s">
        <v>455</v>
      </c>
      <c r="B97" s="127" t="s">
        <v>456</v>
      </c>
      <c r="C97" s="127" t="s">
        <v>457</v>
      </c>
      <c r="D97" s="127" t="s">
        <v>458</v>
      </c>
      <c r="E97" s="127" t="s">
        <v>459</v>
      </c>
      <c r="F97" s="127" t="s">
        <v>162</v>
      </c>
      <c r="G97" s="127" t="s">
        <v>79</v>
      </c>
      <c r="H97" s="127" t="s">
        <v>93</v>
      </c>
      <c r="I97" s="128">
        <v>26.862656072644722</v>
      </c>
      <c r="J97" s="128">
        <v>38.437722000000001</v>
      </c>
      <c r="K97" s="128">
        <v>18.583629999999999</v>
      </c>
      <c r="L97" s="128">
        <v>18.498221000000001</v>
      </c>
      <c r="M97" s="128">
        <v>10.274020999999999</v>
      </c>
      <c r="N97" s="128">
        <v>22.103203000000001</v>
      </c>
      <c r="O97" s="128">
        <v>43.903914999999998</v>
      </c>
      <c r="P97" s="128">
        <v>3.7793589999999999</v>
      </c>
      <c r="Q97" s="128">
        <v>16.007117000000001</v>
      </c>
      <c r="R97" s="128">
        <v>15.274020999999999</v>
      </c>
      <c r="S97" s="128">
        <v>4.8576509999999997</v>
      </c>
      <c r="T97" s="128">
        <v>11.925267</v>
      </c>
      <c r="U97" s="128">
        <v>53.736654999999999</v>
      </c>
      <c r="V97" s="128">
        <v>50.672598000000001</v>
      </c>
      <c r="W97" s="127"/>
      <c r="X97" s="127" t="s">
        <v>52</v>
      </c>
      <c r="Y97" s="129">
        <v>45372</v>
      </c>
      <c r="Z97" s="127" t="s">
        <v>95</v>
      </c>
      <c r="AA97" s="127" t="s">
        <v>54</v>
      </c>
    </row>
    <row r="98" spans="1:27" ht="15.75" x14ac:dyDescent="0.25">
      <c r="A98" s="127" t="s">
        <v>460</v>
      </c>
      <c r="B98" s="127" t="s">
        <v>461</v>
      </c>
      <c r="C98" s="127" t="s">
        <v>462</v>
      </c>
      <c r="D98" s="127" t="s">
        <v>463</v>
      </c>
      <c r="E98" s="127" t="s">
        <v>464</v>
      </c>
      <c r="F98" s="127" t="s">
        <v>172</v>
      </c>
      <c r="G98" s="127" t="s">
        <v>109</v>
      </c>
      <c r="H98" s="127" t="s">
        <v>93</v>
      </c>
      <c r="I98" s="128">
        <v>66.764258555133082</v>
      </c>
      <c r="J98" s="128">
        <v>24.039145999999999</v>
      </c>
      <c r="K98" s="128">
        <v>23.135231000000001</v>
      </c>
      <c r="L98" s="128">
        <v>11.718861</v>
      </c>
      <c r="M98" s="128">
        <v>5.4056940000000004</v>
      </c>
      <c r="N98" s="128">
        <v>17.256228</v>
      </c>
      <c r="O98" s="128">
        <v>37.156584000000002</v>
      </c>
      <c r="P98" s="128">
        <v>0.23131699999999999</v>
      </c>
      <c r="Q98" s="128">
        <v>9.6548040000000004</v>
      </c>
      <c r="R98" s="128">
        <v>12.081851</v>
      </c>
      <c r="S98" s="128">
        <v>5.5231320000000004</v>
      </c>
      <c r="T98" s="128">
        <v>2.587189</v>
      </c>
      <c r="U98" s="128">
        <v>44.106762000000003</v>
      </c>
      <c r="V98" s="128">
        <v>42.797153000000002</v>
      </c>
      <c r="W98" s="127"/>
      <c r="X98" s="127"/>
      <c r="Y98" s="130"/>
      <c r="Z98" s="127"/>
      <c r="AA98" s="127"/>
    </row>
    <row r="99" spans="1:27" ht="15.75" x14ac:dyDescent="0.25">
      <c r="A99" s="127" t="s">
        <v>465</v>
      </c>
      <c r="B99" s="127" t="s">
        <v>466</v>
      </c>
      <c r="C99" s="127" t="s">
        <v>467</v>
      </c>
      <c r="D99" s="127" t="s">
        <v>121</v>
      </c>
      <c r="E99" s="127" t="s">
        <v>468</v>
      </c>
      <c r="F99" s="127" t="s">
        <v>123</v>
      </c>
      <c r="G99" s="127" t="s">
        <v>79</v>
      </c>
      <c r="H99" s="127" t="s">
        <v>93</v>
      </c>
      <c r="I99" s="128">
        <v>57.021276595744681</v>
      </c>
      <c r="J99" s="128">
        <v>133.800712</v>
      </c>
      <c r="K99" s="128">
        <v>18.800712000000001</v>
      </c>
      <c r="L99" s="128">
        <v>17.811388000000001</v>
      </c>
      <c r="M99" s="128">
        <v>7.8932380000000002</v>
      </c>
      <c r="N99" s="128">
        <v>29.946618999999998</v>
      </c>
      <c r="O99" s="128">
        <v>145.96085400000001</v>
      </c>
      <c r="P99" s="128">
        <v>0.54092499999999999</v>
      </c>
      <c r="Q99" s="128">
        <v>1.8576509999999999</v>
      </c>
      <c r="R99" s="128">
        <v>13.765124999999999</v>
      </c>
      <c r="S99" s="128">
        <v>8.0391460000000006</v>
      </c>
      <c r="T99" s="128">
        <v>15.412811</v>
      </c>
      <c r="U99" s="128">
        <v>141.08896799999999</v>
      </c>
      <c r="V99" s="128">
        <v>84.149466000000004</v>
      </c>
      <c r="W99" s="127"/>
      <c r="X99" s="127"/>
      <c r="Y99" s="130" t="s">
        <v>94</v>
      </c>
      <c r="Z99" s="127"/>
      <c r="AA99" s="127"/>
    </row>
    <row r="100" spans="1:27" ht="15.75" x14ac:dyDescent="0.25">
      <c r="A100" s="127" t="s">
        <v>469</v>
      </c>
      <c r="B100" s="127" t="s">
        <v>470</v>
      </c>
      <c r="C100" s="127" t="s">
        <v>471</v>
      </c>
      <c r="D100" s="127" t="s">
        <v>115</v>
      </c>
      <c r="E100" s="127" t="s">
        <v>472</v>
      </c>
      <c r="F100" s="127" t="s">
        <v>473</v>
      </c>
      <c r="G100" s="127" t="s">
        <v>61</v>
      </c>
      <c r="H100" s="127" t="s">
        <v>93</v>
      </c>
      <c r="I100" s="128">
        <v>54.53448275862069</v>
      </c>
      <c r="J100" s="128">
        <v>517.65480400000001</v>
      </c>
      <c r="K100" s="128">
        <v>186.20284699999999</v>
      </c>
      <c r="L100" s="128">
        <v>72.822063999999997</v>
      </c>
      <c r="M100" s="128">
        <v>55.377223999999998</v>
      </c>
      <c r="N100" s="128">
        <v>139.62277599999999</v>
      </c>
      <c r="O100" s="128">
        <v>402.50533799999999</v>
      </c>
      <c r="P100" s="128">
        <v>37.843415999999998</v>
      </c>
      <c r="Q100" s="128">
        <v>252.085409</v>
      </c>
      <c r="R100" s="128">
        <v>109.544484</v>
      </c>
      <c r="S100" s="128">
        <v>45.466191999999999</v>
      </c>
      <c r="T100" s="128">
        <v>61.725979000000002</v>
      </c>
      <c r="U100" s="128">
        <v>615.32028500000001</v>
      </c>
      <c r="V100" s="128">
        <v>467.34519599999999</v>
      </c>
      <c r="W100" s="128">
        <v>750</v>
      </c>
      <c r="X100" s="127" t="s">
        <v>52</v>
      </c>
      <c r="Y100" s="129">
        <v>46184</v>
      </c>
      <c r="Z100" s="127" t="s">
        <v>53</v>
      </c>
      <c r="AA100" s="127" t="s">
        <v>54</v>
      </c>
    </row>
    <row r="101" spans="1:27" ht="15.75" x14ac:dyDescent="0.25">
      <c r="A101" s="127" t="s">
        <v>474</v>
      </c>
      <c r="B101" s="127" t="s">
        <v>475</v>
      </c>
      <c r="C101" s="127" t="s">
        <v>476</v>
      </c>
      <c r="D101" s="127" t="s">
        <v>115</v>
      </c>
      <c r="E101" s="127" t="s">
        <v>477</v>
      </c>
      <c r="F101" s="127" t="s">
        <v>473</v>
      </c>
      <c r="G101" s="127" t="s">
        <v>50</v>
      </c>
      <c r="H101" s="127" t="s">
        <v>51</v>
      </c>
      <c r="I101" s="128">
        <v>77.730421094057462</v>
      </c>
      <c r="J101" s="128">
        <v>328.12099599999999</v>
      </c>
      <c r="K101" s="128">
        <v>299.55516</v>
      </c>
      <c r="L101" s="128">
        <v>142.51601400000001</v>
      </c>
      <c r="M101" s="128">
        <v>71.836298999999997</v>
      </c>
      <c r="N101" s="128">
        <v>225.40925300000001</v>
      </c>
      <c r="O101" s="128">
        <v>616.61921700000005</v>
      </c>
      <c r="P101" s="128">
        <v>0</v>
      </c>
      <c r="Q101" s="128">
        <v>0</v>
      </c>
      <c r="R101" s="128">
        <v>106.74021399999999</v>
      </c>
      <c r="S101" s="128">
        <v>72.035587000000007</v>
      </c>
      <c r="T101" s="128">
        <v>92.629892999999996</v>
      </c>
      <c r="U101" s="128">
        <v>570.62277600000004</v>
      </c>
      <c r="V101" s="128">
        <v>433.70818500000001</v>
      </c>
      <c r="W101" s="128">
        <v>350</v>
      </c>
      <c r="X101" s="127" t="s">
        <v>52</v>
      </c>
      <c r="Y101" s="129">
        <v>46009</v>
      </c>
      <c r="Z101" s="127" t="s">
        <v>309</v>
      </c>
      <c r="AA101" s="127" t="s">
        <v>54</v>
      </c>
    </row>
    <row r="102" spans="1:27" ht="15.75" x14ac:dyDescent="0.25">
      <c r="A102" s="127" t="s">
        <v>478</v>
      </c>
      <c r="B102" s="127" t="s">
        <v>479</v>
      </c>
      <c r="C102" s="127" t="s">
        <v>480</v>
      </c>
      <c r="D102" s="127" t="s">
        <v>58</v>
      </c>
      <c r="E102" s="127" t="s">
        <v>481</v>
      </c>
      <c r="F102" s="127" t="s">
        <v>482</v>
      </c>
      <c r="G102" s="127" t="s">
        <v>61</v>
      </c>
      <c r="H102" s="127" t="s">
        <v>93</v>
      </c>
      <c r="I102" s="128">
        <v>62.987154150197632</v>
      </c>
      <c r="J102" s="128">
        <v>470.26690400000001</v>
      </c>
      <c r="K102" s="128">
        <v>45.462632999999997</v>
      </c>
      <c r="L102" s="128">
        <v>33.053381000000002</v>
      </c>
      <c r="M102" s="128">
        <v>62.13879</v>
      </c>
      <c r="N102" s="128">
        <v>86.295373999999995</v>
      </c>
      <c r="O102" s="128">
        <v>468.96797199999997</v>
      </c>
      <c r="P102" s="128">
        <v>3.3024909999999998</v>
      </c>
      <c r="Q102" s="128">
        <v>52.355871999999998</v>
      </c>
      <c r="R102" s="128">
        <v>49.209963999999999</v>
      </c>
      <c r="S102" s="128">
        <v>28.576512000000001</v>
      </c>
      <c r="T102" s="128">
        <v>38.220641000000001</v>
      </c>
      <c r="U102" s="128">
        <v>494.91459099999997</v>
      </c>
      <c r="V102" s="128">
        <v>277.08896800000002</v>
      </c>
      <c r="W102" s="128">
        <v>640</v>
      </c>
      <c r="X102" s="127" t="s">
        <v>52</v>
      </c>
      <c r="Y102" s="129">
        <v>45673</v>
      </c>
      <c r="Z102" s="127" t="s">
        <v>53</v>
      </c>
      <c r="AA102" s="127" t="s">
        <v>54</v>
      </c>
    </row>
    <row r="103" spans="1:27" ht="15.75" x14ac:dyDescent="0.25">
      <c r="A103" s="127" t="s">
        <v>483</v>
      </c>
      <c r="B103" s="127" t="s">
        <v>484</v>
      </c>
      <c r="C103" s="127" t="s">
        <v>485</v>
      </c>
      <c r="D103" s="127" t="s">
        <v>376</v>
      </c>
      <c r="E103" s="127" t="s">
        <v>486</v>
      </c>
      <c r="F103" s="127" t="s">
        <v>378</v>
      </c>
      <c r="G103" s="127" t="s">
        <v>79</v>
      </c>
      <c r="H103" s="127" t="s">
        <v>93</v>
      </c>
      <c r="I103" s="128">
        <v>12.658971141781681</v>
      </c>
      <c r="J103" s="128">
        <v>133.07117400000001</v>
      </c>
      <c r="K103" s="128">
        <v>24.583629999999999</v>
      </c>
      <c r="L103" s="128">
        <v>31.761565999999998</v>
      </c>
      <c r="M103" s="128">
        <v>24.056940000000001</v>
      </c>
      <c r="N103" s="128">
        <v>43.651246</v>
      </c>
      <c r="O103" s="128">
        <v>155.34163699999999</v>
      </c>
      <c r="P103" s="128">
        <v>1.0320279999999999</v>
      </c>
      <c r="Q103" s="128">
        <v>13.448399</v>
      </c>
      <c r="R103" s="128">
        <v>20.519573000000001</v>
      </c>
      <c r="S103" s="128">
        <v>17.992882999999999</v>
      </c>
      <c r="T103" s="128">
        <v>29.124555000000001</v>
      </c>
      <c r="U103" s="128">
        <v>145.836299</v>
      </c>
      <c r="V103" s="128">
        <v>105.398577</v>
      </c>
      <c r="W103" s="127"/>
      <c r="X103" s="127" t="s">
        <v>52</v>
      </c>
      <c r="Y103" s="131">
        <v>46105</v>
      </c>
      <c r="Z103" s="127" t="s">
        <v>101</v>
      </c>
      <c r="AA103" s="127"/>
    </row>
    <row r="104" spans="1:27" ht="15.75" x14ac:dyDescent="0.25">
      <c r="A104" s="127" t="s">
        <v>487</v>
      </c>
      <c r="B104" s="127" t="s">
        <v>488</v>
      </c>
      <c r="C104" s="127" t="s">
        <v>489</v>
      </c>
      <c r="D104" s="127" t="s">
        <v>65</v>
      </c>
      <c r="E104" s="127" t="s">
        <v>490</v>
      </c>
      <c r="F104" s="127" t="s">
        <v>49</v>
      </c>
      <c r="G104" s="127" t="s">
        <v>72</v>
      </c>
      <c r="H104" s="127" t="s">
        <v>51</v>
      </c>
      <c r="I104" s="128">
        <v>24.410170542635662</v>
      </c>
      <c r="J104" s="128">
        <v>827.558719</v>
      </c>
      <c r="K104" s="128">
        <v>151.501779</v>
      </c>
      <c r="L104" s="128">
        <v>90.081851</v>
      </c>
      <c r="M104" s="128">
        <v>72.313167000000007</v>
      </c>
      <c r="N104" s="128">
        <v>163.59074699999999</v>
      </c>
      <c r="O104" s="128">
        <v>977.84697500000004</v>
      </c>
      <c r="P104" s="128">
        <v>0</v>
      </c>
      <c r="Q104" s="128">
        <v>1.7794000000000001E-2</v>
      </c>
      <c r="R104" s="128">
        <v>82.697508999999997</v>
      </c>
      <c r="S104" s="128">
        <v>52.142349000000003</v>
      </c>
      <c r="T104" s="128">
        <v>90.284698000000006</v>
      </c>
      <c r="U104" s="128">
        <v>916.330961</v>
      </c>
      <c r="V104" s="128">
        <v>785.99288300000001</v>
      </c>
      <c r="W104" s="128">
        <v>500</v>
      </c>
      <c r="X104" s="127" t="s">
        <v>52</v>
      </c>
      <c r="Y104" s="129">
        <v>46052</v>
      </c>
      <c r="Z104" s="127" t="s">
        <v>53</v>
      </c>
      <c r="AA104" s="127" t="s">
        <v>54</v>
      </c>
    </row>
    <row r="105" spans="1:27" ht="15.75" x14ac:dyDescent="0.25">
      <c r="A105" s="127" t="s">
        <v>491</v>
      </c>
      <c r="B105" s="127" t="s">
        <v>492</v>
      </c>
      <c r="C105" s="127" t="s">
        <v>493</v>
      </c>
      <c r="D105" s="127" t="s">
        <v>351</v>
      </c>
      <c r="E105" s="127" t="s">
        <v>494</v>
      </c>
      <c r="F105" s="127" t="s">
        <v>162</v>
      </c>
      <c r="G105" s="127" t="s">
        <v>72</v>
      </c>
      <c r="H105" s="127" t="s">
        <v>93</v>
      </c>
      <c r="I105" s="128">
        <v>4.5542452830188678</v>
      </c>
      <c r="J105" s="128">
        <v>3.2669039999999998</v>
      </c>
      <c r="K105" s="128">
        <v>2.6192169999999999</v>
      </c>
      <c r="L105" s="128">
        <v>0.45907500000000001</v>
      </c>
      <c r="M105" s="128">
        <v>0.61209999999999998</v>
      </c>
      <c r="N105" s="128">
        <v>1.4448399999999999</v>
      </c>
      <c r="O105" s="128">
        <v>5.2348749999999997</v>
      </c>
      <c r="P105" s="128">
        <v>0</v>
      </c>
      <c r="Q105" s="128">
        <v>0.27757999999999999</v>
      </c>
      <c r="R105" s="128">
        <v>0.67971499999999996</v>
      </c>
      <c r="S105" s="128">
        <v>1.0249109999999999</v>
      </c>
      <c r="T105" s="128">
        <v>1.768683</v>
      </c>
      <c r="U105" s="128">
        <v>3.4839859999999998</v>
      </c>
      <c r="V105" s="128">
        <v>3.2277580000000001</v>
      </c>
      <c r="W105" s="127"/>
      <c r="X105" s="127" t="s">
        <v>52</v>
      </c>
      <c r="Y105" s="129">
        <v>45491</v>
      </c>
      <c r="Z105" s="127" t="s">
        <v>95</v>
      </c>
      <c r="AA105" s="127" t="s">
        <v>54</v>
      </c>
    </row>
    <row r="106" spans="1:27" ht="15.75" x14ac:dyDescent="0.25">
      <c r="A106" s="127" t="s">
        <v>495</v>
      </c>
      <c r="B106" s="127" t="s">
        <v>496</v>
      </c>
      <c r="C106" s="127" t="s">
        <v>497</v>
      </c>
      <c r="D106" s="127" t="s">
        <v>115</v>
      </c>
      <c r="E106" s="127" t="s">
        <v>498</v>
      </c>
      <c r="F106" s="127" t="s">
        <v>473</v>
      </c>
      <c r="G106" s="127" t="s">
        <v>72</v>
      </c>
      <c r="H106" s="127" t="s">
        <v>51</v>
      </c>
      <c r="I106" s="128">
        <v>54.063862249346123</v>
      </c>
      <c r="J106" s="128">
        <v>577.79003599999999</v>
      </c>
      <c r="K106" s="128">
        <v>190.95729499999999</v>
      </c>
      <c r="L106" s="128">
        <v>36.170819000000002</v>
      </c>
      <c r="M106" s="128">
        <v>56.978648</v>
      </c>
      <c r="N106" s="128">
        <v>137.60498200000001</v>
      </c>
      <c r="O106" s="128">
        <v>724.29181500000004</v>
      </c>
      <c r="P106" s="128">
        <v>0</v>
      </c>
      <c r="Q106" s="128">
        <v>0</v>
      </c>
      <c r="R106" s="128">
        <v>64.323842999999997</v>
      </c>
      <c r="S106" s="128">
        <v>42.181494999999998</v>
      </c>
      <c r="T106" s="128">
        <v>71.925267000000005</v>
      </c>
      <c r="U106" s="128">
        <v>683.46619199999998</v>
      </c>
      <c r="V106" s="128">
        <v>466.00711699999999</v>
      </c>
      <c r="W106" s="127"/>
      <c r="X106" s="127" t="s">
        <v>52</v>
      </c>
      <c r="Y106" s="129">
        <v>45645</v>
      </c>
      <c r="Z106" s="127" t="s">
        <v>95</v>
      </c>
      <c r="AA106" s="127" t="s">
        <v>54</v>
      </c>
    </row>
    <row r="107" spans="1:27" ht="15.75" x14ac:dyDescent="0.25">
      <c r="A107" s="127" t="s">
        <v>499</v>
      </c>
      <c r="B107" s="127" t="s">
        <v>500</v>
      </c>
      <c r="C107" s="127" t="s">
        <v>501</v>
      </c>
      <c r="D107" s="127" t="s">
        <v>272</v>
      </c>
      <c r="E107" s="127" t="s">
        <v>502</v>
      </c>
      <c r="F107" s="127" t="s">
        <v>150</v>
      </c>
      <c r="G107" s="127" t="s">
        <v>72</v>
      </c>
      <c r="H107" s="127" t="s">
        <v>93</v>
      </c>
      <c r="I107" s="128">
        <v>29.1396694214876</v>
      </c>
      <c r="J107" s="128">
        <v>41.334519999999998</v>
      </c>
      <c r="K107" s="128">
        <v>20.462633</v>
      </c>
      <c r="L107" s="128">
        <v>22.341636999999999</v>
      </c>
      <c r="M107" s="128">
        <v>20.914591000000001</v>
      </c>
      <c r="N107" s="128">
        <v>35.797153000000002</v>
      </c>
      <c r="O107" s="128">
        <v>61.875444999999999</v>
      </c>
      <c r="P107" s="128">
        <v>1.88968</v>
      </c>
      <c r="Q107" s="128">
        <v>5.4911029999999998</v>
      </c>
      <c r="R107" s="128">
        <v>21.896796999999999</v>
      </c>
      <c r="S107" s="128">
        <v>11.498220999999999</v>
      </c>
      <c r="T107" s="128">
        <v>11.437722000000001</v>
      </c>
      <c r="U107" s="128">
        <v>60.220640000000003</v>
      </c>
      <c r="V107" s="128">
        <v>67.380782999999994</v>
      </c>
      <c r="W107" s="127"/>
      <c r="X107" s="127" t="s">
        <v>52</v>
      </c>
      <c r="Y107" s="129">
        <v>45729</v>
      </c>
      <c r="Z107" s="127" t="s">
        <v>95</v>
      </c>
      <c r="AA107" s="127" t="s">
        <v>54</v>
      </c>
    </row>
    <row r="108" spans="1:27" ht="15.75" x14ac:dyDescent="0.25">
      <c r="A108" s="127" t="s">
        <v>503</v>
      </c>
      <c r="B108" s="127" t="s">
        <v>504</v>
      </c>
      <c r="C108" s="127" t="s">
        <v>505</v>
      </c>
      <c r="D108" s="127" t="s">
        <v>115</v>
      </c>
      <c r="E108" s="127" t="s">
        <v>506</v>
      </c>
      <c r="F108" s="127" t="s">
        <v>314</v>
      </c>
      <c r="G108" s="127" t="s">
        <v>50</v>
      </c>
      <c r="H108" s="127" t="s">
        <v>93</v>
      </c>
      <c r="I108" s="128">
        <v>56.26765035487486</v>
      </c>
      <c r="J108" s="128">
        <v>999.24910999999997</v>
      </c>
      <c r="K108" s="128">
        <v>71.836298999999997</v>
      </c>
      <c r="L108" s="128">
        <v>3.3523130000000001</v>
      </c>
      <c r="M108" s="128">
        <v>1.1352310000000001</v>
      </c>
      <c r="N108" s="128">
        <v>29.291815</v>
      </c>
      <c r="O108" s="128">
        <v>758.72953800000005</v>
      </c>
      <c r="P108" s="128">
        <v>21.918149</v>
      </c>
      <c r="Q108" s="128">
        <v>265.63345199999998</v>
      </c>
      <c r="R108" s="128">
        <v>0.70462599999999997</v>
      </c>
      <c r="S108" s="128">
        <v>9.2882560000000005</v>
      </c>
      <c r="T108" s="128">
        <v>58.629893000000003</v>
      </c>
      <c r="U108" s="128">
        <v>1006.9501780000001</v>
      </c>
      <c r="V108" s="128">
        <v>420.66548</v>
      </c>
      <c r="W108" s="128">
        <v>928</v>
      </c>
      <c r="X108" s="127" t="s">
        <v>52</v>
      </c>
      <c r="Y108" s="129">
        <v>46135</v>
      </c>
      <c r="Z108" s="127" t="s">
        <v>53</v>
      </c>
      <c r="AA108" s="127" t="s">
        <v>54</v>
      </c>
    </row>
    <row r="109" spans="1:27" ht="15.75" x14ac:dyDescent="0.25">
      <c r="A109" s="127" t="s">
        <v>507</v>
      </c>
      <c r="B109" s="127" t="s">
        <v>508</v>
      </c>
      <c r="C109" s="127" t="s">
        <v>509</v>
      </c>
      <c r="D109" s="127" t="s">
        <v>241</v>
      </c>
      <c r="E109" s="127" t="s">
        <v>510</v>
      </c>
      <c r="F109" s="127" t="s">
        <v>123</v>
      </c>
      <c r="G109" s="127" t="s">
        <v>72</v>
      </c>
      <c r="H109" s="127" t="s">
        <v>93</v>
      </c>
      <c r="I109" s="128">
        <v>23.97728706624606</v>
      </c>
      <c r="J109" s="128">
        <v>61.256228</v>
      </c>
      <c r="K109" s="128">
        <v>25.266904</v>
      </c>
      <c r="L109" s="128">
        <v>24.071173999999999</v>
      </c>
      <c r="M109" s="128">
        <v>18.900355999999999</v>
      </c>
      <c r="N109" s="128">
        <v>42.455516000000003</v>
      </c>
      <c r="O109" s="128">
        <v>86.964412999999993</v>
      </c>
      <c r="P109" s="128">
        <v>0</v>
      </c>
      <c r="Q109" s="128">
        <v>7.4732999999999994E-2</v>
      </c>
      <c r="R109" s="128">
        <v>20.209963999999999</v>
      </c>
      <c r="S109" s="128">
        <v>12.629892999999999</v>
      </c>
      <c r="T109" s="128">
        <v>20.975089000000001</v>
      </c>
      <c r="U109" s="128">
        <v>75.679715000000002</v>
      </c>
      <c r="V109" s="128">
        <v>83.032027999999997</v>
      </c>
      <c r="W109" s="127"/>
      <c r="X109" s="127" t="s">
        <v>52</v>
      </c>
      <c r="Y109" s="129">
        <v>45722</v>
      </c>
      <c r="Z109" s="127" t="s">
        <v>95</v>
      </c>
      <c r="AA109" s="127" t="s">
        <v>54</v>
      </c>
    </row>
    <row r="110" spans="1:27" ht="15.75" x14ac:dyDescent="0.25">
      <c r="A110" s="127" t="s">
        <v>511</v>
      </c>
      <c r="B110" s="127" t="s">
        <v>512</v>
      </c>
      <c r="C110" s="127" t="s">
        <v>513</v>
      </c>
      <c r="D110" s="127" t="s">
        <v>121</v>
      </c>
      <c r="E110" s="127" t="s">
        <v>514</v>
      </c>
      <c r="F110" s="127" t="s">
        <v>123</v>
      </c>
      <c r="G110" s="127" t="s">
        <v>79</v>
      </c>
      <c r="H110" s="127" t="s">
        <v>51</v>
      </c>
      <c r="I110" s="128">
        <v>41.511520737327189</v>
      </c>
      <c r="J110" s="128">
        <v>79.907472999999996</v>
      </c>
      <c r="K110" s="128">
        <v>23.384342</v>
      </c>
      <c r="L110" s="128">
        <v>15.704625999999999</v>
      </c>
      <c r="M110" s="128">
        <v>10.523132</v>
      </c>
      <c r="N110" s="128">
        <v>32.231316999999997</v>
      </c>
      <c r="O110" s="128">
        <v>97.199287999999996</v>
      </c>
      <c r="P110" s="128">
        <v>6.0498000000000003E-2</v>
      </c>
      <c r="Q110" s="128">
        <v>2.8469999999999999E-2</v>
      </c>
      <c r="R110" s="128">
        <v>12.654804</v>
      </c>
      <c r="S110" s="128">
        <v>16.758006999999999</v>
      </c>
      <c r="T110" s="128">
        <v>20.597864999999999</v>
      </c>
      <c r="U110" s="128">
        <v>79.508895999999993</v>
      </c>
      <c r="V110" s="128">
        <v>84.565836000000004</v>
      </c>
      <c r="W110" s="127"/>
      <c r="X110" s="127" t="s">
        <v>110</v>
      </c>
      <c r="Y110" s="129">
        <v>46212</v>
      </c>
      <c r="Z110" s="127" t="s">
        <v>111</v>
      </c>
      <c r="AA110" s="127" t="s">
        <v>54</v>
      </c>
    </row>
    <row r="111" spans="1:27" ht="15.75" x14ac:dyDescent="0.25">
      <c r="A111" s="127" t="s">
        <v>515</v>
      </c>
      <c r="B111" s="127" t="s">
        <v>516</v>
      </c>
      <c r="C111" s="127" t="s">
        <v>517</v>
      </c>
      <c r="D111" s="127" t="s">
        <v>518</v>
      </c>
      <c r="E111" s="127" t="s">
        <v>519</v>
      </c>
      <c r="F111" s="127" t="s">
        <v>49</v>
      </c>
      <c r="G111" s="127" t="s">
        <v>79</v>
      </c>
      <c r="H111" s="127" t="s">
        <v>93</v>
      </c>
      <c r="I111" s="128">
        <v>3.9372623574144492</v>
      </c>
      <c r="J111" s="128">
        <v>22.049821999999999</v>
      </c>
      <c r="K111" s="128">
        <v>2.839858</v>
      </c>
      <c r="L111" s="128">
        <v>3.1921710000000001</v>
      </c>
      <c r="M111" s="128">
        <v>1.5693950000000001</v>
      </c>
      <c r="N111" s="128">
        <v>5.0142350000000002</v>
      </c>
      <c r="O111" s="128">
        <v>19.217082000000001</v>
      </c>
      <c r="P111" s="128">
        <v>0.59786499999999998</v>
      </c>
      <c r="Q111" s="128">
        <v>4.8220640000000001</v>
      </c>
      <c r="R111" s="128">
        <v>1.935943</v>
      </c>
      <c r="S111" s="128">
        <v>1.7793589999999999</v>
      </c>
      <c r="T111" s="128">
        <v>4.252669</v>
      </c>
      <c r="U111" s="128">
        <v>21.683274000000001</v>
      </c>
      <c r="V111" s="128">
        <v>16.569395</v>
      </c>
      <c r="W111" s="127"/>
      <c r="X111" s="127" t="s">
        <v>52</v>
      </c>
      <c r="Y111" s="129" t="s">
        <v>94</v>
      </c>
      <c r="Z111" s="127" t="s">
        <v>95</v>
      </c>
      <c r="AA111" s="127" t="s">
        <v>54</v>
      </c>
    </row>
    <row r="112" spans="1:27" ht="15.75" x14ac:dyDescent="0.25">
      <c r="A112" s="127" t="s">
        <v>520</v>
      </c>
      <c r="B112" s="127" t="s">
        <v>521</v>
      </c>
      <c r="C112" s="127" t="s">
        <v>522</v>
      </c>
      <c r="D112" s="127" t="s">
        <v>85</v>
      </c>
      <c r="E112" s="127" t="s">
        <v>523</v>
      </c>
      <c r="F112" s="127" t="s">
        <v>87</v>
      </c>
      <c r="G112" s="127" t="s">
        <v>144</v>
      </c>
      <c r="H112" s="127" t="s">
        <v>51</v>
      </c>
      <c r="I112" s="128">
        <v>27.004197808948501</v>
      </c>
      <c r="J112" s="128">
        <v>156.76868300000001</v>
      </c>
      <c r="K112" s="128">
        <v>84.199287999999996</v>
      </c>
      <c r="L112" s="128">
        <v>270.82918100000001</v>
      </c>
      <c r="M112" s="128">
        <v>331.63345199999998</v>
      </c>
      <c r="N112" s="128">
        <v>376.836299</v>
      </c>
      <c r="O112" s="128">
        <v>466.59430600000002</v>
      </c>
      <c r="P112" s="128">
        <v>0</v>
      </c>
      <c r="Q112" s="128">
        <v>0</v>
      </c>
      <c r="R112" s="128">
        <v>276.01067599999999</v>
      </c>
      <c r="S112" s="128">
        <v>82.800712000000004</v>
      </c>
      <c r="T112" s="128">
        <v>77.882561999999993</v>
      </c>
      <c r="U112" s="128">
        <v>406.73665499999998</v>
      </c>
      <c r="V112" s="128">
        <v>478.90391499999998</v>
      </c>
      <c r="W112" s="128">
        <v>450</v>
      </c>
      <c r="X112" s="127" t="s">
        <v>52</v>
      </c>
      <c r="Y112" s="129">
        <v>45778</v>
      </c>
      <c r="Z112" s="127" t="s">
        <v>53</v>
      </c>
      <c r="AA112" s="127" t="s">
        <v>54</v>
      </c>
    </row>
    <row r="113" spans="1:27" ht="15.75" x14ac:dyDescent="0.25">
      <c r="A113" s="127" t="s">
        <v>524</v>
      </c>
      <c r="B113" s="127" t="s">
        <v>525</v>
      </c>
      <c r="C113" s="127" t="s">
        <v>526</v>
      </c>
      <c r="D113" s="127" t="s">
        <v>203</v>
      </c>
      <c r="E113" s="127" t="s">
        <v>527</v>
      </c>
      <c r="F113" s="127" t="s">
        <v>205</v>
      </c>
      <c r="G113" s="127" t="s">
        <v>79</v>
      </c>
      <c r="H113" s="127" t="s">
        <v>93</v>
      </c>
      <c r="I113" s="128">
        <v>1.8579881656804731</v>
      </c>
      <c r="J113" s="128">
        <v>0.25266899999999998</v>
      </c>
      <c r="K113" s="128">
        <v>0.56939499999999998</v>
      </c>
      <c r="L113" s="128">
        <v>5.3380999999999998E-2</v>
      </c>
      <c r="M113" s="128">
        <v>0.24199300000000001</v>
      </c>
      <c r="N113" s="128">
        <v>0.466192</v>
      </c>
      <c r="O113" s="128">
        <v>0.55871899999999997</v>
      </c>
      <c r="P113" s="128">
        <v>3.5590000000000001E-3</v>
      </c>
      <c r="Q113" s="128">
        <v>8.8968000000000005E-2</v>
      </c>
      <c r="R113" s="128">
        <v>0.14590700000000001</v>
      </c>
      <c r="S113" s="128">
        <v>0.13167300000000001</v>
      </c>
      <c r="T113" s="128">
        <v>0.36654799999999998</v>
      </c>
      <c r="U113" s="128">
        <v>0.47330899999999998</v>
      </c>
      <c r="V113" s="128">
        <v>0.74733099999999997</v>
      </c>
      <c r="W113" s="127"/>
      <c r="X113" s="127" t="s">
        <v>52</v>
      </c>
      <c r="Y113" s="129">
        <v>45505</v>
      </c>
      <c r="Z113" s="127" t="s">
        <v>95</v>
      </c>
      <c r="AA113" s="127" t="s">
        <v>54</v>
      </c>
    </row>
    <row r="114" spans="1:27" ht="15.75" x14ac:dyDescent="0.25">
      <c r="A114" s="127" t="s">
        <v>528</v>
      </c>
      <c r="B114" s="127" t="s">
        <v>529</v>
      </c>
      <c r="C114" s="127" t="s">
        <v>530</v>
      </c>
      <c r="D114" s="127" t="s">
        <v>115</v>
      </c>
      <c r="E114" s="127" t="s">
        <v>531</v>
      </c>
      <c r="F114" s="127" t="s">
        <v>314</v>
      </c>
      <c r="G114" s="127" t="s">
        <v>79</v>
      </c>
      <c r="H114" s="127" t="s">
        <v>51</v>
      </c>
      <c r="I114" s="128">
        <v>55.401840490797547</v>
      </c>
      <c r="J114" s="128">
        <v>138.31672599999999</v>
      </c>
      <c r="K114" s="128">
        <v>8.0391460000000006</v>
      </c>
      <c r="L114" s="128">
        <v>0.72953699999999999</v>
      </c>
      <c r="M114" s="128">
        <v>0</v>
      </c>
      <c r="N114" s="128">
        <v>11.124555000000001</v>
      </c>
      <c r="O114" s="128">
        <v>135.530249</v>
      </c>
      <c r="P114" s="128">
        <v>9.9643999999999996E-2</v>
      </c>
      <c r="Q114" s="128">
        <v>0.33096100000000001</v>
      </c>
      <c r="R114" s="128">
        <v>1.3878999999999999</v>
      </c>
      <c r="S114" s="128">
        <v>1.580071</v>
      </c>
      <c r="T114" s="128">
        <v>14.209963999999999</v>
      </c>
      <c r="U114" s="128">
        <v>129.90747400000001</v>
      </c>
      <c r="V114" s="128">
        <v>86.330961000000002</v>
      </c>
      <c r="W114" s="127"/>
      <c r="X114" s="127"/>
      <c r="Y114" s="131">
        <v>46030</v>
      </c>
      <c r="Z114" s="127" t="s">
        <v>111</v>
      </c>
      <c r="AA114" s="127"/>
    </row>
    <row r="115" spans="1:27" ht="15.75" x14ac:dyDescent="0.25">
      <c r="A115" s="127" t="s">
        <v>532</v>
      </c>
      <c r="B115" s="127" t="s">
        <v>533</v>
      </c>
      <c r="C115" s="127" t="s">
        <v>534</v>
      </c>
      <c r="D115" s="127" t="s">
        <v>65</v>
      </c>
      <c r="E115" s="127" t="s">
        <v>535</v>
      </c>
      <c r="F115" s="127" t="s">
        <v>49</v>
      </c>
      <c r="G115" s="127" t="s">
        <v>72</v>
      </c>
      <c r="H115" s="127" t="s">
        <v>93</v>
      </c>
      <c r="I115" s="128">
        <v>2.75</v>
      </c>
      <c r="J115" s="128">
        <v>2.0320279999999999</v>
      </c>
      <c r="K115" s="128">
        <v>0.32740200000000003</v>
      </c>
      <c r="L115" s="128">
        <v>0.37366500000000002</v>
      </c>
      <c r="M115" s="128">
        <v>1.4234999999999999E-2</v>
      </c>
      <c r="N115" s="128">
        <v>0.48398600000000003</v>
      </c>
      <c r="O115" s="128">
        <v>2.2633450000000002</v>
      </c>
      <c r="P115" s="128">
        <v>0</v>
      </c>
      <c r="Q115" s="128">
        <v>0</v>
      </c>
      <c r="R115" s="128">
        <v>0.188612</v>
      </c>
      <c r="S115" s="128">
        <v>0.24911</v>
      </c>
      <c r="T115" s="128">
        <v>0.174377</v>
      </c>
      <c r="U115" s="128">
        <v>2.1352319999999998</v>
      </c>
      <c r="V115" s="128">
        <v>1.8647689999999999</v>
      </c>
      <c r="W115" s="128">
        <v>96</v>
      </c>
      <c r="X115" s="127" t="s">
        <v>536</v>
      </c>
      <c r="Y115" s="131">
        <v>45965</v>
      </c>
      <c r="Z115" s="127" t="s">
        <v>309</v>
      </c>
      <c r="AA115" s="127" t="s">
        <v>54</v>
      </c>
    </row>
    <row r="116" spans="1:27" ht="15.75" x14ac:dyDescent="0.25">
      <c r="A116" s="127" t="s">
        <v>537</v>
      </c>
      <c r="B116" s="127" t="s">
        <v>538</v>
      </c>
      <c r="C116" s="127" t="s">
        <v>539</v>
      </c>
      <c r="D116" s="127" t="s">
        <v>540</v>
      </c>
      <c r="E116" s="127" t="s">
        <v>541</v>
      </c>
      <c r="F116" s="127" t="s">
        <v>297</v>
      </c>
      <c r="G116" s="127" t="s">
        <v>79</v>
      </c>
      <c r="H116" s="127" t="s">
        <v>93</v>
      </c>
      <c r="I116" s="128">
        <v>2.2832699619771861</v>
      </c>
      <c r="J116" s="128">
        <v>2.2740209999999998</v>
      </c>
      <c r="K116" s="128">
        <v>0.36298900000000001</v>
      </c>
      <c r="L116" s="128">
        <v>1.419929</v>
      </c>
      <c r="M116" s="128">
        <v>0.24199300000000001</v>
      </c>
      <c r="N116" s="128">
        <v>0.55160100000000001</v>
      </c>
      <c r="O116" s="128">
        <v>3.5729540000000002</v>
      </c>
      <c r="P116" s="128">
        <v>1.7794000000000001E-2</v>
      </c>
      <c r="Q116" s="128">
        <v>0.156584</v>
      </c>
      <c r="R116" s="128">
        <v>0.39857700000000001</v>
      </c>
      <c r="S116" s="128">
        <v>0.23131699999999999</v>
      </c>
      <c r="T116" s="128">
        <v>0.41281099999999998</v>
      </c>
      <c r="U116" s="128">
        <v>3.2562280000000001</v>
      </c>
      <c r="V116" s="128">
        <v>2.0177939999999999</v>
      </c>
      <c r="W116" s="127"/>
      <c r="X116" s="127"/>
      <c r="Y116" s="130"/>
      <c r="Z116" s="127"/>
      <c r="AA116" s="127"/>
    </row>
    <row r="117" spans="1:27" ht="15.75" x14ac:dyDescent="0.25">
      <c r="A117" s="127" t="s">
        <v>542</v>
      </c>
      <c r="B117" s="127" t="s">
        <v>543</v>
      </c>
      <c r="C117" s="127" t="s">
        <v>544</v>
      </c>
      <c r="D117" s="127" t="s">
        <v>115</v>
      </c>
      <c r="E117" s="127" t="s">
        <v>545</v>
      </c>
      <c r="F117" s="127" t="s">
        <v>260</v>
      </c>
      <c r="G117" s="127" t="s">
        <v>50</v>
      </c>
      <c r="H117" s="127" t="s">
        <v>93</v>
      </c>
      <c r="I117" s="128">
        <v>55.522851919561241</v>
      </c>
      <c r="J117" s="128">
        <v>268.59430600000002</v>
      </c>
      <c r="K117" s="128">
        <v>16.149466</v>
      </c>
      <c r="L117" s="128">
        <v>14.462633</v>
      </c>
      <c r="M117" s="128">
        <v>10.245552</v>
      </c>
      <c r="N117" s="128">
        <v>0.54092499999999999</v>
      </c>
      <c r="O117" s="128">
        <v>2.8007119999999999</v>
      </c>
      <c r="P117" s="128">
        <v>14.078291999999999</v>
      </c>
      <c r="Q117" s="128">
        <v>292.03202800000003</v>
      </c>
      <c r="R117" s="128">
        <v>5.5622780000000001</v>
      </c>
      <c r="S117" s="128">
        <v>9.0782919999999994</v>
      </c>
      <c r="T117" s="128">
        <v>10.690391</v>
      </c>
      <c r="U117" s="128">
        <v>284.12099599999999</v>
      </c>
      <c r="V117" s="128">
        <v>171.75800699999999</v>
      </c>
      <c r="W117" s="127"/>
      <c r="X117" s="127" t="s">
        <v>52</v>
      </c>
      <c r="Y117" s="129">
        <v>46037</v>
      </c>
      <c r="Z117" s="127" t="s">
        <v>309</v>
      </c>
      <c r="AA117" s="127" t="s">
        <v>54</v>
      </c>
    </row>
    <row r="118" spans="1:27" ht="15.75" x14ac:dyDescent="0.25">
      <c r="A118" s="127" t="s">
        <v>546</v>
      </c>
      <c r="B118" s="127" t="s">
        <v>547</v>
      </c>
      <c r="C118" s="127" t="s">
        <v>548</v>
      </c>
      <c r="D118" s="127" t="s">
        <v>549</v>
      </c>
      <c r="E118" s="127" t="s">
        <v>550</v>
      </c>
      <c r="F118" s="127" t="s">
        <v>150</v>
      </c>
      <c r="G118" s="127" t="s">
        <v>79</v>
      </c>
      <c r="H118" s="127" t="s">
        <v>93</v>
      </c>
      <c r="I118" s="128">
        <v>40.16901408450704</v>
      </c>
      <c r="J118" s="128">
        <v>6.8469749999999996</v>
      </c>
      <c r="K118" s="128">
        <v>1.11032</v>
      </c>
      <c r="L118" s="128">
        <v>1.9395020000000001</v>
      </c>
      <c r="M118" s="128">
        <v>0.30960900000000002</v>
      </c>
      <c r="N118" s="128">
        <v>1.4946619999999999</v>
      </c>
      <c r="O118" s="128">
        <v>8.6548040000000004</v>
      </c>
      <c r="P118" s="128">
        <v>0</v>
      </c>
      <c r="Q118" s="128">
        <v>5.6939999999999998E-2</v>
      </c>
      <c r="R118" s="128">
        <v>0.44839899999999999</v>
      </c>
      <c r="S118" s="128">
        <v>0.85409299999999999</v>
      </c>
      <c r="T118" s="128">
        <v>0.61565800000000004</v>
      </c>
      <c r="U118" s="128">
        <v>8.2882560000000005</v>
      </c>
      <c r="V118" s="128">
        <v>5.9501780000000002</v>
      </c>
      <c r="W118" s="127"/>
      <c r="X118" s="127"/>
      <c r="Y118" s="130"/>
      <c r="Z118" s="127"/>
      <c r="AA118" s="127"/>
    </row>
    <row r="119" spans="1:27" ht="15.75" x14ac:dyDescent="0.25">
      <c r="A119" s="127" t="s">
        <v>551</v>
      </c>
      <c r="B119" s="127" t="s">
        <v>552</v>
      </c>
      <c r="C119" s="127" t="s">
        <v>553</v>
      </c>
      <c r="D119" s="127" t="s">
        <v>177</v>
      </c>
      <c r="E119" s="127" t="s">
        <v>554</v>
      </c>
      <c r="F119" s="127" t="s">
        <v>179</v>
      </c>
      <c r="G119" s="127" t="s">
        <v>109</v>
      </c>
      <c r="H119" s="127" t="s">
        <v>93</v>
      </c>
      <c r="I119" s="128">
        <v>56.913875598086122</v>
      </c>
      <c r="J119" s="128">
        <v>9.8612099999999998</v>
      </c>
      <c r="K119" s="128">
        <v>10.092527</v>
      </c>
      <c r="L119" s="128">
        <v>26.427046000000001</v>
      </c>
      <c r="M119" s="128">
        <v>43.017794000000002</v>
      </c>
      <c r="N119" s="128">
        <v>58.227758000000001</v>
      </c>
      <c r="O119" s="128">
        <v>31.170819000000002</v>
      </c>
      <c r="P119" s="128">
        <v>0</v>
      </c>
      <c r="Q119" s="128">
        <v>0</v>
      </c>
      <c r="R119" s="128">
        <v>48.145907000000001</v>
      </c>
      <c r="S119" s="128">
        <v>7.8007119999999999</v>
      </c>
      <c r="T119" s="128">
        <v>9.4092529999999996</v>
      </c>
      <c r="U119" s="128">
        <v>24.042705000000002</v>
      </c>
      <c r="V119" s="128">
        <v>55.035587</v>
      </c>
      <c r="W119" s="127"/>
      <c r="X119" s="127"/>
      <c r="Y119" s="130"/>
      <c r="Z119" s="127"/>
      <c r="AA119" s="127"/>
    </row>
    <row r="120" spans="1:27" ht="15.75" x14ac:dyDescent="0.25">
      <c r="A120" s="127" t="s">
        <v>555</v>
      </c>
      <c r="B120" s="127" t="s">
        <v>556</v>
      </c>
      <c r="C120" s="127" t="s">
        <v>371</v>
      </c>
      <c r="D120" s="127" t="s">
        <v>557</v>
      </c>
      <c r="E120" s="127" t="s">
        <v>558</v>
      </c>
      <c r="F120" s="127" t="s">
        <v>378</v>
      </c>
      <c r="G120" s="127" t="s">
        <v>79</v>
      </c>
      <c r="H120" s="127" t="s">
        <v>93</v>
      </c>
      <c r="I120" s="128">
        <v>1.5662188099808061</v>
      </c>
      <c r="J120" s="128">
        <v>3.4590749999999999</v>
      </c>
      <c r="K120" s="128">
        <v>1.1565840000000001</v>
      </c>
      <c r="L120" s="128">
        <v>0.67971499999999996</v>
      </c>
      <c r="M120" s="128">
        <v>0.49822100000000002</v>
      </c>
      <c r="N120" s="128">
        <v>1.202847</v>
      </c>
      <c r="O120" s="128">
        <v>2.686833</v>
      </c>
      <c r="P120" s="128">
        <v>0.19217100000000001</v>
      </c>
      <c r="Q120" s="128">
        <v>1.7117439999999999</v>
      </c>
      <c r="R120" s="128">
        <v>0.53736700000000004</v>
      </c>
      <c r="S120" s="128">
        <v>0.56583600000000001</v>
      </c>
      <c r="T120" s="128">
        <v>0.86476900000000001</v>
      </c>
      <c r="U120" s="128">
        <v>3.8256220000000001</v>
      </c>
      <c r="V120" s="128">
        <v>3.658363</v>
      </c>
      <c r="W120" s="127"/>
      <c r="X120" s="127" t="s">
        <v>559</v>
      </c>
      <c r="Y120" s="129" t="s">
        <v>138</v>
      </c>
      <c r="Z120" s="127" t="s">
        <v>95</v>
      </c>
      <c r="AA120" s="127" t="s">
        <v>54</v>
      </c>
    </row>
    <row r="121" spans="1:27" ht="15.75" x14ac:dyDescent="0.25">
      <c r="A121" s="127" t="s">
        <v>560</v>
      </c>
      <c r="B121" s="127" t="s">
        <v>561</v>
      </c>
      <c r="C121" s="127" t="s">
        <v>562</v>
      </c>
      <c r="D121" s="127" t="s">
        <v>85</v>
      </c>
      <c r="E121" s="127" t="s">
        <v>563</v>
      </c>
      <c r="F121" s="127" t="s">
        <v>87</v>
      </c>
      <c r="G121" s="127" t="s">
        <v>72</v>
      </c>
      <c r="H121" s="127" t="s">
        <v>51</v>
      </c>
      <c r="I121" s="128">
        <v>13.739344262295081</v>
      </c>
      <c r="J121" s="128">
        <v>31.576512000000001</v>
      </c>
      <c r="K121" s="128">
        <v>3.6619220000000001</v>
      </c>
      <c r="L121" s="128">
        <v>1.4946619999999999</v>
      </c>
      <c r="M121" s="128">
        <v>3.2064059999999999</v>
      </c>
      <c r="N121" s="128">
        <v>5.9074730000000004</v>
      </c>
      <c r="O121" s="128">
        <v>34.032027999999997</v>
      </c>
      <c r="P121" s="128">
        <v>0</v>
      </c>
      <c r="Q121" s="128">
        <v>0</v>
      </c>
      <c r="R121" s="128">
        <v>3.3451960000000001</v>
      </c>
      <c r="S121" s="128">
        <v>1.8576509999999999</v>
      </c>
      <c r="T121" s="128">
        <v>2.064057</v>
      </c>
      <c r="U121" s="128">
        <v>32.672598000000001</v>
      </c>
      <c r="V121" s="128">
        <v>12.099644</v>
      </c>
      <c r="W121" s="128">
        <v>70</v>
      </c>
      <c r="X121" s="127" t="s">
        <v>173</v>
      </c>
      <c r="Y121" s="131">
        <v>46035</v>
      </c>
      <c r="Z121" s="127" t="s">
        <v>364</v>
      </c>
      <c r="AA121" s="127" t="s">
        <v>54</v>
      </c>
    </row>
    <row r="122" spans="1:27" ht="15.75" x14ac:dyDescent="0.25">
      <c r="A122" s="127" t="s">
        <v>564</v>
      </c>
      <c r="B122" s="127" t="s">
        <v>565</v>
      </c>
      <c r="C122" s="127" t="s">
        <v>566</v>
      </c>
      <c r="D122" s="127" t="s">
        <v>115</v>
      </c>
      <c r="E122" s="127" t="s">
        <v>567</v>
      </c>
      <c r="F122" s="127" t="s">
        <v>473</v>
      </c>
      <c r="G122" s="127" t="s">
        <v>79</v>
      </c>
      <c r="H122" s="127" t="s">
        <v>51</v>
      </c>
      <c r="I122" s="128">
        <v>44.886572143452881</v>
      </c>
      <c r="J122" s="128">
        <v>179.65124599999999</v>
      </c>
      <c r="K122" s="128">
        <v>55.768683000000003</v>
      </c>
      <c r="L122" s="128">
        <v>2.1032030000000002</v>
      </c>
      <c r="M122" s="128">
        <v>1.768683</v>
      </c>
      <c r="N122" s="128">
        <v>34.903914999999998</v>
      </c>
      <c r="O122" s="128">
        <v>204.3879</v>
      </c>
      <c r="P122" s="128">
        <v>0</v>
      </c>
      <c r="Q122" s="128">
        <v>0</v>
      </c>
      <c r="R122" s="128">
        <v>6.9039149999999996</v>
      </c>
      <c r="S122" s="128">
        <v>11.049822000000001</v>
      </c>
      <c r="T122" s="128">
        <v>25.309608999999998</v>
      </c>
      <c r="U122" s="128">
        <v>196.02847</v>
      </c>
      <c r="V122" s="128">
        <v>95.943060000000003</v>
      </c>
      <c r="W122" s="127"/>
      <c r="X122" s="127" t="s">
        <v>52</v>
      </c>
      <c r="Y122" s="129">
        <v>45743</v>
      </c>
      <c r="Z122" s="127" t="s">
        <v>95</v>
      </c>
      <c r="AA122" s="127" t="s">
        <v>54</v>
      </c>
    </row>
    <row r="123" spans="1:27" ht="15.75" x14ac:dyDescent="0.25">
      <c r="A123" s="127" t="s">
        <v>568</v>
      </c>
      <c r="B123" s="127" t="s">
        <v>569</v>
      </c>
      <c r="C123" s="127" t="s">
        <v>570</v>
      </c>
      <c r="D123" s="127" t="s">
        <v>198</v>
      </c>
      <c r="E123" s="127" t="s">
        <v>571</v>
      </c>
      <c r="F123" s="127" t="s">
        <v>150</v>
      </c>
      <c r="G123" s="127" t="s">
        <v>79</v>
      </c>
      <c r="H123" s="127" t="s">
        <v>93</v>
      </c>
      <c r="I123" s="128">
        <v>27.395604395604391</v>
      </c>
      <c r="J123" s="128">
        <v>9.9074729999999995</v>
      </c>
      <c r="K123" s="128">
        <v>5.6619219999999997</v>
      </c>
      <c r="L123" s="128">
        <v>9.8505339999999997</v>
      </c>
      <c r="M123" s="128">
        <v>10.658363</v>
      </c>
      <c r="N123" s="128">
        <v>19.252669000000001</v>
      </c>
      <c r="O123" s="128">
        <v>12.334519999999999</v>
      </c>
      <c r="P123" s="128">
        <v>1.9110320000000001</v>
      </c>
      <c r="Q123" s="128">
        <v>2.5800709999999998</v>
      </c>
      <c r="R123" s="128">
        <v>10.619217000000001</v>
      </c>
      <c r="S123" s="128">
        <v>7.1850529999999999</v>
      </c>
      <c r="T123" s="128">
        <v>5.6975090000000002</v>
      </c>
      <c r="U123" s="128">
        <v>12.576513</v>
      </c>
      <c r="V123" s="128">
        <v>26.274021000000001</v>
      </c>
      <c r="W123" s="127"/>
      <c r="X123" s="127"/>
      <c r="Y123" s="130" t="s">
        <v>138</v>
      </c>
      <c r="Z123" s="127"/>
      <c r="AA123" s="127"/>
    </row>
    <row r="124" spans="1:27" ht="15.75" x14ac:dyDescent="0.25">
      <c r="A124" s="127" t="s">
        <v>572</v>
      </c>
      <c r="B124" s="127" t="s">
        <v>573</v>
      </c>
      <c r="C124" s="127" t="s">
        <v>574</v>
      </c>
      <c r="D124" s="127" t="s">
        <v>453</v>
      </c>
      <c r="E124" s="127" t="s">
        <v>575</v>
      </c>
      <c r="F124" s="127" t="s">
        <v>150</v>
      </c>
      <c r="G124" s="127" t="s">
        <v>79</v>
      </c>
      <c r="H124" s="127" t="s">
        <v>93</v>
      </c>
      <c r="I124" s="128">
        <v>23.992156862745102</v>
      </c>
      <c r="J124" s="128">
        <v>24.441281</v>
      </c>
      <c r="K124" s="128">
        <v>10.263344999999999</v>
      </c>
      <c r="L124" s="128">
        <v>5.5622780000000001</v>
      </c>
      <c r="M124" s="128">
        <v>8.1138790000000007</v>
      </c>
      <c r="N124" s="128">
        <v>15.590747</v>
      </c>
      <c r="O124" s="128">
        <v>26.526689999999999</v>
      </c>
      <c r="P124" s="128">
        <v>2.3843420000000002</v>
      </c>
      <c r="Q124" s="128">
        <v>3.8790040000000001</v>
      </c>
      <c r="R124" s="128">
        <v>10.060498000000001</v>
      </c>
      <c r="S124" s="128">
        <v>4.3238430000000001</v>
      </c>
      <c r="T124" s="128">
        <v>8.8291810000000002</v>
      </c>
      <c r="U124" s="128">
        <v>25.167259999999999</v>
      </c>
      <c r="V124" s="128">
        <v>31.185053</v>
      </c>
      <c r="W124" s="127"/>
      <c r="X124" s="127" t="s">
        <v>52</v>
      </c>
      <c r="Y124" s="129">
        <v>46175</v>
      </c>
      <c r="Z124" s="127" t="s">
        <v>111</v>
      </c>
      <c r="AA124" s="127" t="s">
        <v>54</v>
      </c>
    </row>
    <row r="125" spans="1:27" ht="15.75" x14ac:dyDescent="0.25">
      <c r="A125" s="127" t="s">
        <v>576</v>
      </c>
      <c r="B125" s="127" t="s">
        <v>577</v>
      </c>
      <c r="C125" s="127" t="s">
        <v>578</v>
      </c>
      <c r="D125" s="127" t="s">
        <v>241</v>
      </c>
      <c r="E125" s="127" t="s">
        <v>579</v>
      </c>
      <c r="F125" s="127" t="s">
        <v>117</v>
      </c>
      <c r="G125" s="127" t="s">
        <v>79</v>
      </c>
      <c r="H125" s="127" t="s">
        <v>93</v>
      </c>
      <c r="I125" s="128">
        <v>1.4619952494061761</v>
      </c>
      <c r="J125" s="128">
        <v>3.4092530000000001</v>
      </c>
      <c r="K125" s="128">
        <v>0.32384299999999999</v>
      </c>
      <c r="L125" s="128">
        <v>0.25266899999999998</v>
      </c>
      <c r="M125" s="128">
        <v>0.33096100000000001</v>
      </c>
      <c r="N125" s="128">
        <v>0.71174400000000004</v>
      </c>
      <c r="O125" s="128">
        <v>3.2918150000000002</v>
      </c>
      <c r="P125" s="128">
        <v>1.0676E-2</v>
      </c>
      <c r="Q125" s="128">
        <v>0.30249100000000001</v>
      </c>
      <c r="R125" s="128">
        <v>0.34875400000000001</v>
      </c>
      <c r="S125" s="128">
        <v>0.27046300000000001</v>
      </c>
      <c r="T125" s="128">
        <v>0.30960900000000002</v>
      </c>
      <c r="U125" s="128">
        <v>3.3879000000000001</v>
      </c>
      <c r="V125" s="128">
        <v>2.181495</v>
      </c>
      <c r="W125" s="127"/>
      <c r="X125" s="127" t="s">
        <v>80</v>
      </c>
      <c r="Y125" s="131">
        <v>45790</v>
      </c>
      <c r="Z125" s="127" t="s">
        <v>95</v>
      </c>
      <c r="AA125" s="127" t="s">
        <v>54</v>
      </c>
    </row>
    <row r="126" spans="1:27" ht="15.75" x14ac:dyDescent="0.25">
      <c r="A126" s="127" t="s">
        <v>580</v>
      </c>
      <c r="B126" s="127" t="s">
        <v>581</v>
      </c>
      <c r="C126" s="127" t="s">
        <v>582</v>
      </c>
      <c r="D126" s="127" t="s">
        <v>65</v>
      </c>
      <c r="E126" s="127" t="s">
        <v>583</v>
      </c>
      <c r="F126" s="127" t="s">
        <v>49</v>
      </c>
      <c r="G126" s="127" t="s">
        <v>72</v>
      </c>
      <c r="H126" s="127" t="s">
        <v>51</v>
      </c>
      <c r="I126" s="128">
        <v>69.286103542234329</v>
      </c>
      <c r="J126" s="128">
        <v>0.51245600000000002</v>
      </c>
      <c r="K126" s="128">
        <v>3.9395020000000001</v>
      </c>
      <c r="L126" s="128">
        <v>51.028469999999999</v>
      </c>
      <c r="M126" s="128">
        <v>120.17081899999999</v>
      </c>
      <c r="N126" s="128">
        <v>148.09608499999999</v>
      </c>
      <c r="O126" s="128">
        <v>27.551601000000002</v>
      </c>
      <c r="P126" s="128">
        <v>0</v>
      </c>
      <c r="Q126" s="128">
        <v>3.5590000000000001E-3</v>
      </c>
      <c r="R126" s="128">
        <v>134.081851</v>
      </c>
      <c r="S126" s="128">
        <v>14</v>
      </c>
      <c r="T126" s="128">
        <v>7.05694</v>
      </c>
      <c r="U126" s="128">
        <v>20.512456</v>
      </c>
      <c r="V126" s="128">
        <v>157.081851</v>
      </c>
      <c r="W126" s="128">
        <v>208</v>
      </c>
      <c r="X126" s="127"/>
      <c r="Y126" s="130"/>
      <c r="Z126" s="127"/>
      <c r="AA126" s="127"/>
    </row>
    <row r="127" spans="1:27" ht="15.75" x14ac:dyDescent="0.25">
      <c r="A127" s="127" t="s">
        <v>584</v>
      </c>
      <c r="B127" s="127" t="s">
        <v>585</v>
      </c>
      <c r="C127" s="127" t="s">
        <v>586</v>
      </c>
      <c r="D127" s="127" t="s">
        <v>115</v>
      </c>
      <c r="E127" s="127" t="s">
        <v>587</v>
      </c>
      <c r="F127" s="127" t="s">
        <v>117</v>
      </c>
      <c r="G127" s="127" t="s">
        <v>79</v>
      </c>
      <c r="H127" s="127" t="s">
        <v>93</v>
      </c>
      <c r="I127" s="128">
        <v>1.41875</v>
      </c>
      <c r="J127" s="128">
        <v>1.8291809999999999</v>
      </c>
      <c r="K127" s="128">
        <v>0.32740200000000003</v>
      </c>
      <c r="L127" s="128">
        <v>0.15302499999999999</v>
      </c>
      <c r="M127" s="128">
        <v>0.103203</v>
      </c>
      <c r="N127" s="128">
        <v>0.31672600000000001</v>
      </c>
      <c r="O127" s="128">
        <v>1.88968</v>
      </c>
      <c r="P127" s="128">
        <v>3.5590000000000001E-3</v>
      </c>
      <c r="Q127" s="128">
        <v>0.202847</v>
      </c>
      <c r="R127" s="128">
        <v>0.103203</v>
      </c>
      <c r="S127" s="128">
        <v>0.17793600000000001</v>
      </c>
      <c r="T127" s="128">
        <v>0.16725999999999999</v>
      </c>
      <c r="U127" s="128">
        <v>1.964413</v>
      </c>
      <c r="V127" s="128">
        <v>1.0854090000000001</v>
      </c>
      <c r="W127" s="127"/>
      <c r="X127" s="127" t="s">
        <v>110</v>
      </c>
      <c r="Y127" s="129">
        <v>46100</v>
      </c>
      <c r="Z127" s="127" t="s">
        <v>111</v>
      </c>
      <c r="AA127" s="127" t="s">
        <v>54</v>
      </c>
    </row>
    <row r="128" spans="1:27" ht="15.75" x14ac:dyDescent="0.25">
      <c r="A128" s="127" t="s">
        <v>588</v>
      </c>
      <c r="B128" s="127" t="s">
        <v>589</v>
      </c>
      <c r="C128" s="127" t="s">
        <v>590</v>
      </c>
      <c r="D128" s="127" t="s">
        <v>47</v>
      </c>
      <c r="E128" s="127" t="s">
        <v>591</v>
      </c>
      <c r="F128" s="127" t="s">
        <v>49</v>
      </c>
      <c r="G128" s="127" t="s">
        <v>79</v>
      </c>
      <c r="H128" s="127" t="s">
        <v>93</v>
      </c>
      <c r="I128" s="128">
        <v>1.788461538461539</v>
      </c>
      <c r="J128" s="128">
        <v>5.3345200000000004</v>
      </c>
      <c r="K128" s="128">
        <v>0.94661899999999999</v>
      </c>
      <c r="L128" s="128">
        <v>0.41281099999999998</v>
      </c>
      <c r="M128" s="128">
        <v>0.59074700000000002</v>
      </c>
      <c r="N128" s="128">
        <v>1.0676159999999999</v>
      </c>
      <c r="O128" s="128">
        <v>5.2313169999999998</v>
      </c>
      <c r="P128" s="128">
        <v>1.7794000000000001E-2</v>
      </c>
      <c r="Q128" s="128">
        <v>0.96797200000000005</v>
      </c>
      <c r="R128" s="128">
        <v>0.62633499999999998</v>
      </c>
      <c r="S128" s="128">
        <v>0.345196</v>
      </c>
      <c r="T128" s="128">
        <v>0.44128099999999998</v>
      </c>
      <c r="U128" s="128">
        <v>5.8718859999999999</v>
      </c>
      <c r="V128" s="128">
        <v>4.5622780000000001</v>
      </c>
      <c r="W128" s="127"/>
      <c r="X128" s="127" t="s">
        <v>52</v>
      </c>
      <c r="Y128" s="129" t="s">
        <v>94</v>
      </c>
      <c r="Z128" s="127" t="s">
        <v>95</v>
      </c>
      <c r="AA128" s="127" t="s">
        <v>54</v>
      </c>
    </row>
    <row r="129" spans="1:27" ht="15.75" x14ac:dyDescent="0.25">
      <c r="A129" s="127" t="s">
        <v>592</v>
      </c>
      <c r="B129" s="127" t="s">
        <v>593</v>
      </c>
      <c r="C129" s="127" t="s">
        <v>594</v>
      </c>
      <c r="D129" s="127" t="s">
        <v>154</v>
      </c>
      <c r="E129" s="127" t="s">
        <v>595</v>
      </c>
      <c r="F129" s="127" t="s">
        <v>156</v>
      </c>
      <c r="G129" s="127" t="s">
        <v>79</v>
      </c>
      <c r="H129" s="127" t="s">
        <v>93</v>
      </c>
      <c r="I129" s="128">
        <v>21.203703703703699</v>
      </c>
      <c r="J129" s="128">
        <v>69.028469999999999</v>
      </c>
      <c r="K129" s="128">
        <v>13.622776</v>
      </c>
      <c r="L129" s="128">
        <v>4.1387900000000002</v>
      </c>
      <c r="M129" s="128">
        <v>2.6761569999999999</v>
      </c>
      <c r="N129" s="128">
        <v>10.626334999999999</v>
      </c>
      <c r="O129" s="128">
        <v>49.903914</v>
      </c>
      <c r="P129" s="128">
        <v>3.651246</v>
      </c>
      <c r="Q129" s="128">
        <v>25.284697999999999</v>
      </c>
      <c r="R129" s="128">
        <v>5.4590750000000003</v>
      </c>
      <c r="S129" s="128">
        <v>5.0676160000000001</v>
      </c>
      <c r="T129" s="128">
        <v>10.679715</v>
      </c>
      <c r="U129" s="128">
        <v>68.259786000000005</v>
      </c>
      <c r="V129" s="128">
        <v>57.868327000000001</v>
      </c>
      <c r="W129" s="127"/>
      <c r="X129" s="127"/>
      <c r="Y129" s="131" t="s">
        <v>94</v>
      </c>
      <c r="Z129" s="127"/>
      <c r="AA129" s="127" t="s">
        <v>54</v>
      </c>
    </row>
    <row r="130" spans="1:27" ht="15.75" x14ac:dyDescent="0.25">
      <c r="A130" s="127" t="s">
        <v>596</v>
      </c>
      <c r="B130" s="127" t="s">
        <v>597</v>
      </c>
      <c r="C130" s="127" t="s">
        <v>598</v>
      </c>
      <c r="D130" s="127" t="s">
        <v>85</v>
      </c>
      <c r="E130" s="127" t="s">
        <v>599</v>
      </c>
      <c r="F130" s="127" t="s">
        <v>87</v>
      </c>
      <c r="G130" s="127" t="s">
        <v>79</v>
      </c>
      <c r="H130" s="127" t="s">
        <v>93</v>
      </c>
      <c r="I130" s="128">
        <v>2.8309037900874641</v>
      </c>
      <c r="J130" s="128">
        <v>2.7010679999999998</v>
      </c>
      <c r="K130" s="128">
        <v>0.34163700000000002</v>
      </c>
      <c r="L130" s="128">
        <v>2.2633450000000002</v>
      </c>
      <c r="M130" s="128">
        <v>1.3878999999999999</v>
      </c>
      <c r="N130" s="128">
        <v>1.818505</v>
      </c>
      <c r="O130" s="128">
        <v>2.9217080000000002</v>
      </c>
      <c r="P130" s="128">
        <v>0.27757999999999999</v>
      </c>
      <c r="Q130" s="128">
        <v>1.6761569999999999</v>
      </c>
      <c r="R130" s="128">
        <v>0.68683300000000003</v>
      </c>
      <c r="S130" s="128">
        <v>1.3665480000000001</v>
      </c>
      <c r="T130" s="128">
        <v>0.69039099999999998</v>
      </c>
      <c r="U130" s="128">
        <v>3.9501780000000002</v>
      </c>
      <c r="V130" s="128">
        <v>3.754448</v>
      </c>
      <c r="W130" s="128">
        <v>68</v>
      </c>
      <c r="X130" s="127" t="s">
        <v>536</v>
      </c>
      <c r="Y130" s="131">
        <v>46177</v>
      </c>
      <c r="Z130" s="127" t="s">
        <v>111</v>
      </c>
      <c r="AA130" s="127" t="s">
        <v>54</v>
      </c>
    </row>
    <row r="131" spans="1:27" ht="15.75" x14ac:dyDescent="0.25">
      <c r="A131" s="127" t="s">
        <v>600</v>
      </c>
      <c r="B131" s="127" t="s">
        <v>601</v>
      </c>
      <c r="C131" s="127" t="s">
        <v>602</v>
      </c>
      <c r="D131" s="127" t="s">
        <v>198</v>
      </c>
      <c r="E131" s="127" t="s">
        <v>603</v>
      </c>
      <c r="F131" s="127" t="s">
        <v>150</v>
      </c>
      <c r="G131" s="127" t="s">
        <v>50</v>
      </c>
      <c r="H131" s="127" t="s">
        <v>51</v>
      </c>
      <c r="I131" s="128">
        <v>33.631133671742809</v>
      </c>
      <c r="J131" s="128">
        <v>56.103203000000001</v>
      </c>
      <c r="K131" s="128">
        <v>24.978648</v>
      </c>
      <c r="L131" s="128">
        <v>22.882562</v>
      </c>
      <c r="M131" s="128">
        <v>19.387899999999998</v>
      </c>
      <c r="N131" s="128">
        <v>51.964413</v>
      </c>
      <c r="O131" s="128">
        <v>71.387900000000002</v>
      </c>
      <c r="P131" s="128">
        <v>0</v>
      </c>
      <c r="Q131" s="128">
        <v>0</v>
      </c>
      <c r="R131" s="128">
        <v>17.391459000000001</v>
      </c>
      <c r="S131" s="128">
        <v>21.932383999999999</v>
      </c>
      <c r="T131" s="128">
        <v>34.523131999999997</v>
      </c>
      <c r="U131" s="128">
        <v>49.505338000000002</v>
      </c>
      <c r="V131" s="128">
        <v>70.487544</v>
      </c>
      <c r="W131" s="128">
        <v>300</v>
      </c>
      <c r="X131" s="127" t="s">
        <v>536</v>
      </c>
      <c r="Y131" s="130"/>
      <c r="Z131" s="127"/>
      <c r="AA131" s="127" t="s">
        <v>54</v>
      </c>
    </row>
    <row r="132" spans="1:27" ht="15.75" x14ac:dyDescent="0.25">
      <c r="A132" s="127" t="s">
        <v>604</v>
      </c>
      <c r="B132" s="127" t="s">
        <v>605</v>
      </c>
      <c r="C132" s="127" t="s">
        <v>606</v>
      </c>
      <c r="D132" s="127" t="s">
        <v>58</v>
      </c>
      <c r="E132" s="127" t="s">
        <v>607</v>
      </c>
      <c r="F132" s="127" t="s">
        <v>172</v>
      </c>
      <c r="G132" s="127" t="s">
        <v>61</v>
      </c>
      <c r="H132" s="127" t="s">
        <v>51</v>
      </c>
      <c r="I132" s="128">
        <v>54.211621233859397</v>
      </c>
      <c r="J132" s="128">
        <v>197.11032</v>
      </c>
      <c r="K132" s="128">
        <v>34.864769000000003</v>
      </c>
      <c r="L132" s="128">
        <v>55.192171000000002</v>
      </c>
      <c r="M132" s="128">
        <v>56.505338000000002</v>
      </c>
      <c r="N132" s="128">
        <v>79.362988999999999</v>
      </c>
      <c r="O132" s="128">
        <v>264.11032</v>
      </c>
      <c r="P132" s="128">
        <v>3.2028000000000001E-2</v>
      </c>
      <c r="Q132" s="128">
        <v>0.16725999999999999</v>
      </c>
      <c r="R132" s="128">
        <v>57.765124999999998</v>
      </c>
      <c r="S132" s="128">
        <v>22.555160000000001</v>
      </c>
      <c r="T132" s="128">
        <v>28.291815</v>
      </c>
      <c r="U132" s="128">
        <v>235.060498</v>
      </c>
      <c r="V132" s="128">
        <v>105.35587200000001</v>
      </c>
      <c r="W132" s="128">
        <v>320</v>
      </c>
      <c r="X132" s="127" t="s">
        <v>52</v>
      </c>
      <c r="Y132" s="129">
        <v>45764</v>
      </c>
      <c r="Z132" s="127" t="s">
        <v>53</v>
      </c>
      <c r="AA132" s="127" t="s">
        <v>54</v>
      </c>
    </row>
    <row r="133" spans="1:27" ht="15.75" x14ac:dyDescent="0.25">
      <c r="A133" s="127" t="s">
        <v>608</v>
      </c>
      <c r="B133" s="127" t="s">
        <v>609</v>
      </c>
      <c r="C133" s="127" t="s">
        <v>610</v>
      </c>
      <c r="D133" s="127" t="s">
        <v>246</v>
      </c>
      <c r="E133" s="127" t="s">
        <v>611</v>
      </c>
      <c r="F133" s="127" t="s">
        <v>123</v>
      </c>
      <c r="G133" s="127" t="s">
        <v>72</v>
      </c>
      <c r="H133" s="127" t="s">
        <v>51</v>
      </c>
      <c r="I133" s="128">
        <v>48.440766550522653</v>
      </c>
      <c r="J133" s="128">
        <v>7.4590750000000003</v>
      </c>
      <c r="K133" s="128">
        <v>31.323843</v>
      </c>
      <c r="L133" s="128">
        <v>238.081851</v>
      </c>
      <c r="M133" s="128">
        <v>227.29181500000001</v>
      </c>
      <c r="N133" s="128">
        <v>291.69750900000003</v>
      </c>
      <c r="O133" s="128">
        <v>212.45907500000001</v>
      </c>
      <c r="P133" s="128">
        <v>0</v>
      </c>
      <c r="Q133" s="128">
        <v>0</v>
      </c>
      <c r="R133" s="128">
        <v>231.27046300000001</v>
      </c>
      <c r="S133" s="128">
        <v>65.900356000000002</v>
      </c>
      <c r="T133" s="128">
        <v>55.060498000000003</v>
      </c>
      <c r="U133" s="128">
        <v>151.92526699999999</v>
      </c>
      <c r="V133" s="128">
        <v>339.3879</v>
      </c>
      <c r="W133" s="127"/>
      <c r="X133" s="127" t="s">
        <v>536</v>
      </c>
      <c r="Y133" s="131" t="s">
        <v>94</v>
      </c>
      <c r="Z133" s="127" t="s">
        <v>309</v>
      </c>
      <c r="AA133" s="127" t="s">
        <v>54</v>
      </c>
    </row>
    <row r="134" spans="1:27" ht="15.75" x14ac:dyDescent="0.25">
      <c r="A134" s="127" t="s">
        <v>612</v>
      </c>
      <c r="B134" s="127" t="s">
        <v>613</v>
      </c>
      <c r="C134" s="127" t="s">
        <v>522</v>
      </c>
      <c r="D134" s="127" t="s">
        <v>85</v>
      </c>
      <c r="E134" s="127" t="s">
        <v>614</v>
      </c>
      <c r="F134" s="127" t="s">
        <v>87</v>
      </c>
      <c r="G134" s="127" t="s">
        <v>109</v>
      </c>
      <c r="H134" s="127" t="s">
        <v>93</v>
      </c>
      <c r="I134" s="128">
        <v>61.561758893280633</v>
      </c>
      <c r="J134" s="128">
        <v>18.701067999999999</v>
      </c>
      <c r="K134" s="128">
        <v>16.427046000000001</v>
      </c>
      <c r="L134" s="128">
        <v>222.05694</v>
      </c>
      <c r="M134" s="128">
        <v>174.10320300000001</v>
      </c>
      <c r="N134" s="128">
        <v>195.053381</v>
      </c>
      <c r="O134" s="128">
        <v>236.20996400000001</v>
      </c>
      <c r="P134" s="128">
        <v>0</v>
      </c>
      <c r="Q134" s="128">
        <v>2.4910999999999999E-2</v>
      </c>
      <c r="R134" s="128">
        <v>142.16726</v>
      </c>
      <c r="S134" s="128">
        <v>58.192171000000002</v>
      </c>
      <c r="T134" s="128">
        <v>46.871886000000003</v>
      </c>
      <c r="U134" s="128">
        <v>184.05694</v>
      </c>
      <c r="V134" s="128">
        <v>227.637011</v>
      </c>
      <c r="W134" s="127"/>
      <c r="X134" s="127"/>
      <c r="Y134" s="130"/>
      <c r="Z134" s="127"/>
      <c r="AA134" s="127"/>
    </row>
    <row r="135" spans="1:27" ht="15.75" x14ac:dyDescent="0.25">
      <c r="A135" s="127" t="s">
        <v>615</v>
      </c>
      <c r="B135" s="127" t="s">
        <v>616</v>
      </c>
      <c r="C135" s="127" t="s">
        <v>617</v>
      </c>
      <c r="D135" s="127" t="s">
        <v>222</v>
      </c>
      <c r="E135" s="127" t="s">
        <v>618</v>
      </c>
      <c r="F135" s="127" t="s">
        <v>123</v>
      </c>
      <c r="G135" s="127" t="s">
        <v>61</v>
      </c>
      <c r="H135" s="127" t="s">
        <v>93</v>
      </c>
      <c r="I135" s="128">
        <v>16.54371584699453</v>
      </c>
      <c r="J135" s="128">
        <v>50.067616000000001</v>
      </c>
      <c r="K135" s="128">
        <v>8.1459069999999993</v>
      </c>
      <c r="L135" s="128">
        <v>14.637010999999999</v>
      </c>
      <c r="M135" s="128">
        <v>16.476868</v>
      </c>
      <c r="N135" s="128">
        <v>21.572953999999999</v>
      </c>
      <c r="O135" s="128">
        <v>48.715302000000001</v>
      </c>
      <c r="P135" s="128">
        <v>1.875445</v>
      </c>
      <c r="Q135" s="128">
        <v>17.163701</v>
      </c>
      <c r="R135" s="128">
        <v>13.846975</v>
      </c>
      <c r="S135" s="128">
        <v>4.9679719999999996</v>
      </c>
      <c r="T135" s="128">
        <v>11.398577</v>
      </c>
      <c r="U135" s="128">
        <v>59.113878999999997</v>
      </c>
      <c r="V135" s="128">
        <v>39.405693999999997</v>
      </c>
      <c r="W135" s="128">
        <v>1002</v>
      </c>
      <c r="X135" s="127"/>
      <c r="Y135" s="130" t="s">
        <v>138</v>
      </c>
      <c r="Z135" s="127"/>
      <c r="AA135" s="127"/>
    </row>
    <row r="136" spans="1:27" ht="15.75" x14ac:dyDescent="0.25">
      <c r="A136" s="127" t="s">
        <v>619</v>
      </c>
      <c r="B136" s="127" t="s">
        <v>620</v>
      </c>
      <c r="C136" s="127" t="s">
        <v>621</v>
      </c>
      <c r="D136" s="127" t="s">
        <v>622</v>
      </c>
      <c r="E136" s="127" t="s">
        <v>623</v>
      </c>
      <c r="F136" s="127" t="s">
        <v>49</v>
      </c>
      <c r="G136" s="127" t="s">
        <v>79</v>
      </c>
      <c r="H136" s="127" t="s">
        <v>93</v>
      </c>
      <c r="I136" s="128">
        <v>2.1244635193133048</v>
      </c>
      <c r="J136" s="128">
        <v>3.9003559999999999</v>
      </c>
      <c r="K136" s="128">
        <v>0.56939499999999998</v>
      </c>
      <c r="L136" s="128">
        <v>0.451957</v>
      </c>
      <c r="M136" s="128">
        <v>0.39501799999999998</v>
      </c>
      <c r="N136" s="128">
        <v>0.99288299999999996</v>
      </c>
      <c r="O136" s="128">
        <v>4.0177940000000003</v>
      </c>
      <c r="P136" s="128">
        <v>3.5587000000000001E-2</v>
      </c>
      <c r="Q136" s="128">
        <v>0.27046300000000001</v>
      </c>
      <c r="R136" s="128">
        <v>0.43060500000000002</v>
      </c>
      <c r="S136" s="128">
        <v>0.38078299999999998</v>
      </c>
      <c r="T136" s="128">
        <v>0.65480400000000005</v>
      </c>
      <c r="U136" s="128">
        <v>3.8505340000000001</v>
      </c>
      <c r="V136" s="128">
        <v>3.6334520000000001</v>
      </c>
      <c r="W136" s="127"/>
      <c r="X136" s="127" t="s">
        <v>80</v>
      </c>
      <c r="Y136" s="129" t="s">
        <v>138</v>
      </c>
      <c r="Z136" s="127" t="s">
        <v>81</v>
      </c>
      <c r="AA136" s="127" t="s">
        <v>54</v>
      </c>
    </row>
    <row r="137" spans="1:27" ht="15.75" x14ac:dyDescent="0.25">
      <c r="A137" s="127" t="s">
        <v>624</v>
      </c>
      <c r="B137" s="127" t="s">
        <v>625</v>
      </c>
      <c r="C137" s="127" t="s">
        <v>626</v>
      </c>
      <c r="D137" s="127" t="s">
        <v>351</v>
      </c>
      <c r="E137" s="127" t="s">
        <v>627</v>
      </c>
      <c r="F137" s="127" t="s">
        <v>162</v>
      </c>
      <c r="G137" s="127" t="s">
        <v>79</v>
      </c>
      <c r="H137" s="127" t="s">
        <v>93</v>
      </c>
      <c r="I137" s="128">
        <v>2.856304985337244</v>
      </c>
      <c r="J137" s="128">
        <v>2.1387900000000002</v>
      </c>
      <c r="K137" s="128">
        <v>0.87188600000000005</v>
      </c>
      <c r="L137" s="128">
        <v>0.170819</v>
      </c>
      <c r="M137" s="128">
        <v>0.359431</v>
      </c>
      <c r="N137" s="128">
        <v>1.202847</v>
      </c>
      <c r="O137" s="128">
        <v>2.2597860000000001</v>
      </c>
      <c r="P137" s="128">
        <v>3.2028000000000001E-2</v>
      </c>
      <c r="Q137" s="128">
        <v>4.6262999999999999E-2</v>
      </c>
      <c r="R137" s="128">
        <v>0.44484000000000001</v>
      </c>
      <c r="S137" s="128">
        <v>0.73309599999999997</v>
      </c>
      <c r="T137" s="128">
        <v>1.174377</v>
      </c>
      <c r="U137" s="128">
        <v>1.188612</v>
      </c>
      <c r="V137" s="128">
        <v>1.6619219999999999</v>
      </c>
      <c r="W137" s="127"/>
      <c r="X137" s="127" t="s">
        <v>52</v>
      </c>
      <c r="Y137" s="129">
        <v>45498</v>
      </c>
      <c r="Z137" s="127" t="s">
        <v>95</v>
      </c>
      <c r="AA137" s="127" t="s">
        <v>102</v>
      </c>
    </row>
    <row r="138" spans="1:27" ht="15.75" x14ac:dyDescent="0.25">
      <c r="A138" s="127" t="s">
        <v>628</v>
      </c>
      <c r="B138" s="127" t="s">
        <v>629</v>
      </c>
      <c r="C138" s="127" t="s">
        <v>630</v>
      </c>
      <c r="D138" s="127" t="s">
        <v>549</v>
      </c>
      <c r="E138" s="127" t="s">
        <v>631</v>
      </c>
      <c r="F138" s="127" t="s">
        <v>150</v>
      </c>
      <c r="G138" s="127" t="s">
        <v>79</v>
      </c>
      <c r="H138" s="127" t="s">
        <v>93</v>
      </c>
      <c r="I138" s="128">
        <v>2.2245762711864412</v>
      </c>
      <c r="J138" s="128">
        <v>1.8362989999999999</v>
      </c>
      <c r="K138" s="128">
        <v>0.80782900000000002</v>
      </c>
      <c r="L138" s="128">
        <v>0.56227799999999994</v>
      </c>
      <c r="M138" s="128">
        <v>0.48398600000000003</v>
      </c>
      <c r="N138" s="128">
        <v>0.86476900000000001</v>
      </c>
      <c r="O138" s="128">
        <v>2.6476869999999999</v>
      </c>
      <c r="P138" s="128">
        <v>3.9146E-2</v>
      </c>
      <c r="Q138" s="128">
        <v>0.13879</v>
      </c>
      <c r="R138" s="128">
        <v>0.35231299999999999</v>
      </c>
      <c r="S138" s="128">
        <v>0.27757999999999999</v>
      </c>
      <c r="T138" s="128">
        <v>0.56939499999999998</v>
      </c>
      <c r="U138" s="128">
        <v>2.4911029999999998</v>
      </c>
      <c r="V138" s="128">
        <v>2.1281140000000001</v>
      </c>
      <c r="W138" s="127"/>
      <c r="X138" s="127" t="s">
        <v>80</v>
      </c>
      <c r="Y138" s="129">
        <v>45632</v>
      </c>
      <c r="Z138" s="127" t="s">
        <v>81</v>
      </c>
      <c r="AA138" s="127" t="s">
        <v>54</v>
      </c>
    </row>
    <row r="139" spans="1:27" ht="15.75" x14ac:dyDescent="0.25">
      <c r="A139" s="127" t="s">
        <v>632</v>
      </c>
      <c r="B139" s="127" t="s">
        <v>633</v>
      </c>
      <c r="C139" s="127" t="s">
        <v>634</v>
      </c>
      <c r="D139" s="127" t="s">
        <v>166</v>
      </c>
      <c r="E139" s="127" t="s">
        <v>635</v>
      </c>
      <c r="F139" s="127" t="s">
        <v>156</v>
      </c>
      <c r="G139" s="127" t="s">
        <v>72</v>
      </c>
      <c r="H139" s="127" t="s">
        <v>51</v>
      </c>
      <c r="I139" s="128">
        <v>49.141085271317827</v>
      </c>
      <c r="J139" s="128">
        <v>96.903914999999998</v>
      </c>
      <c r="K139" s="128">
        <v>8.0925270000000005</v>
      </c>
      <c r="L139" s="128">
        <v>1.0035590000000001</v>
      </c>
      <c r="M139" s="128">
        <v>1.16726</v>
      </c>
      <c r="N139" s="128">
        <v>7.9679719999999996</v>
      </c>
      <c r="O139" s="128">
        <v>99.199287999999996</v>
      </c>
      <c r="P139" s="128">
        <v>0</v>
      </c>
      <c r="Q139" s="128">
        <v>0</v>
      </c>
      <c r="R139" s="128">
        <v>1.3345199999999999</v>
      </c>
      <c r="S139" s="128">
        <v>0.87544500000000003</v>
      </c>
      <c r="T139" s="128">
        <v>6.8327400000000003</v>
      </c>
      <c r="U139" s="128">
        <v>98.124555000000001</v>
      </c>
      <c r="V139" s="128">
        <v>71.419928999999996</v>
      </c>
      <c r="W139" s="127"/>
      <c r="X139" s="127" t="s">
        <v>52</v>
      </c>
      <c r="Y139" s="129">
        <v>45729</v>
      </c>
      <c r="Z139" s="127" t="s">
        <v>95</v>
      </c>
      <c r="AA139" s="127" t="s">
        <v>54</v>
      </c>
    </row>
    <row r="140" spans="1:27" ht="15.75" x14ac:dyDescent="0.25">
      <c r="A140" s="127" t="s">
        <v>636</v>
      </c>
      <c r="B140" s="127" t="s">
        <v>637</v>
      </c>
      <c r="C140" s="127" t="s">
        <v>638</v>
      </c>
      <c r="D140" s="127" t="s">
        <v>127</v>
      </c>
      <c r="E140" s="127" t="s">
        <v>639</v>
      </c>
      <c r="F140" s="127" t="s">
        <v>143</v>
      </c>
      <c r="G140" s="127" t="s">
        <v>79</v>
      </c>
      <c r="H140" s="127" t="s">
        <v>93</v>
      </c>
      <c r="I140" s="128">
        <v>1.504378283712785</v>
      </c>
      <c r="J140" s="128">
        <v>2.747331</v>
      </c>
      <c r="K140" s="128">
        <v>0.106762</v>
      </c>
      <c r="L140" s="128">
        <v>8.5408999999999999E-2</v>
      </c>
      <c r="M140" s="128">
        <v>8.5408999999999999E-2</v>
      </c>
      <c r="N140" s="128">
        <v>0.28469800000000001</v>
      </c>
      <c r="O140" s="128">
        <v>2.690391</v>
      </c>
      <c r="P140" s="128">
        <v>0</v>
      </c>
      <c r="Q140" s="128">
        <v>4.9821999999999998E-2</v>
      </c>
      <c r="R140" s="128">
        <v>0.19217100000000001</v>
      </c>
      <c r="S140" s="128">
        <v>8.1850999999999993E-2</v>
      </c>
      <c r="T140" s="128">
        <v>0.156584</v>
      </c>
      <c r="U140" s="128">
        <v>2.594306</v>
      </c>
      <c r="V140" s="128">
        <v>1.13879</v>
      </c>
      <c r="W140" s="127"/>
      <c r="X140" s="127"/>
      <c r="Y140" s="130" t="s">
        <v>94</v>
      </c>
      <c r="Z140" s="127"/>
      <c r="AA140" s="127"/>
    </row>
    <row r="141" spans="1:27" ht="15.75" x14ac:dyDescent="0.25">
      <c r="A141" s="127" t="s">
        <v>640</v>
      </c>
      <c r="B141" s="127" t="s">
        <v>641</v>
      </c>
      <c r="C141" s="127" t="s">
        <v>497</v>
      </c>
      <c r="D141" s="127" t="s">
        <v>115</v>
      </c>
      <c r="E141" s="127" t="s">
        <v>498</v>
      </c>
      <c r="F141" s="127" t="s">
        <v>473</v>
      </c>
      <c r="G141" s="127" t="s">
        <v>61</v>
      </c>
      <c r="H141" s="127" t="s">
        <v>51</v>
      </c>
      <c r="I141" s="128">
        <v>16.458797550938471</v>
      </c>
      <c r="J141" s="128">
        <v>592.90747299999998</v>
      </c>
      <c r="K141" s="128">
        <v>352.18861199999998</v>
      </c>
      <c r="L141" s="128">
        <v>135.09964400000001</v>
      </c>
      <c r="M141" s="128">
        <v>137.245552</v>
      </c>
      <c r="N141" s="128">
        <v>301.08540900000003</v>
      </c>
      <c r="O141" s="128">
        <v>628.75089000000003</v>
      </c>
      <c r="P141" s="128">
        <v>30.572953999999999</v>
      </c>
      <c r="Q141" s="128">
        <v>257.03202800000003</v>
      </c>
      <c r="R141" s="128">
        <v>197.220641</v>
      </c>
      <c r="S141" s="128">
        <v>90.149466000000004</v>
      </c>
      <c r="T141" s="128">
        <v>113.939502</v>
      </c>
      <c r="U141" s="128">
        <v>816.13167299999998</v>
      </c>
      <c r="V141" s="128">
        <v>754.85765100000003</v>
      </c>
      <c r="W141" s="128">
        <v>750</v>
      </c>
      <c r="X141" s="127" t="s">
        <v>52</v>
      </c>
      <c r="Y141" s="129">
        <v>46142</v>
      </c>
      <c r="Z141" s="127" t="s">
        <v>53</v>
      </c>
      <c r="AA141" s="127" t="s">
        <v>54</v>
      </c>
    </row>
    <row r="142" spans="1:27" ht="15.75" x14ac:dyDescent="0.25">
      <c r="A142" s="127" t="s">
        <v>642</v>
      </c>
      <c r="B142" s="127" t="s">
        <v>643</v>
      </c>
      <c r="C142" s="127" t="s">
        <v>644</v>
      </c>
      <c r="D142" s="127" t="s">
        <v>177</v>
      </c>
      <c r="E142" s="127" t="s">
        <v>645</v>
      </c>
      <c r="F142" s="127" t="s">
        <v>179</v>
      </c>
      <c r="G142" s="127" t="s">
        <v>50</v>
      </c>
      <c r="H142" s="127" t="s">
        <v>93</v>
      </c>
      <c r="I142" s="128">
        <v>45.524463182664967</v>
      </c>
      <c r="J142" s="128">
        <v>976.16014199999995</v>
      </c>
      <c r="K142" s="128">
        <v>241.59786500000001</v>
      </c>
      <c r="L142" s="128">
        <v>208.76512500000001</v>
      </c>
      <c r="M142" s="128">
        <v>184.20640599999999</v>
      </c>
      <c r="N142" s="128">
        <v>297.51245599999999</v>
      </c>
      <c r="O142" s="128">
        <v>1267.4234879999999</v>
      </c>
      <c r="P142" s="128">
        <v>14.672598000000001</v>
      </c>
      <c r="Q142" s="128">
        <v>31.120996000000002</v>
      </c>
      <c r="R142" s="128">
        <v>205.46263300000001</v>
      </c>
      <c r="S142" s="128">
        <v>78.423488000000006</v>
      </c>
      <c r="T142" s="128">
        <v>113.427046</v>
      </c>
      <c r="U142" s="128">
        <v>1213.4163699999999</v>
      </c>
      <c r="V142" s="128">
        <v>886.43060500000001</v>
      </c>
      <c r="W142" s="128">
        <v>800</v>
      </c>
      <c r="X142" s="127" t="s">
        <v>52</v>
      </c>
      <c r="Y142" s="129">
        <v>45722</v>
      </c>
      <c r="Z142" s="127" t="s">
        <v>53</v>
      </c>
      <c r="AA142" s="127" t="s">
        <v>54</v>
      </c>
    </row>
    <row r="143" spans="1:27" ht="15.75" x14ac:dyDescent="0.25">
      <c r="A143" s="127" t="s">
        <v>646</v>
      </c>
      <c r="B143" s="127" t="s">
        <v>647</v>
      </c>
      <c r="C143" s="127" t="s">
        <v>648</v>
      </c>
      <c r="D143" s="127" t="s">
        <v>453</v>
      </c>
      <c r="E143" s="127" t="s">
        <v>649</v>
      </c>
      <c r="F143" s="127" t="s">
        <v>150</v>
      </c>
      <c r="G143" s="127" t="s">
        <v>79</v>
      </c>
      <c r="H143" s="127" t="s">
        <v>93</v>
      </c>
      <c r="I143" s="128">
        <v>40.74</v>
      </c>
      <c r="J143" s="128">
        <v>5.875445</v>
      </c>
      <c r="K143" s="128">
        <v>1.8825620000000001</v>
      </c>
      <c r="L143" s="128">
        <v>2.4875440000000002</v>
      </c>
      <c r="M143" s="128">
        <v>4.4234879999999999</v>
      </c>
      <c r="N143" s="128">
        <v>7.8362990000000003</v>
      </c>
      <c r="O143" s="128">
        <v>5.7900359999999997</v>
      </c>
      <c r="P143" s="128">
        <v>0.37010700000000002</v>
      </c>
      <c r="Q143" s="128">
        <v>0.67259800000000003</v>
      </c>
      <c r="R143" s="128">
        <v>4.9181489999999997</v>
      </c>
      <c r="S143" s="128">
        <v>1.86121</v>
      </c>
      <c r="T143" s="128">
        <v>2.2989320000000002</v>
      </c>
      <c r="U143" s="128">
        <v>5.5907470000000004</v>
      </c>
      <c r="V143" s="128">
        <v>8.2846980000000006</v>
      </c>
      <c r="W143" s="127"/>
      <c r="X143" s="127"/>
      <c r="Y143" s="130" t="s">
        <v>94</v>
      </c>
      <c r="Z143" s="127"/>
      <c r="AA143" s="127"/>
    </row>
    <row r="144" spans="1:27" ht="15.75" x14ac:dyDescent="0.25">
      <c r="A144" s="127" t="s">
        <v>650</v>
      </c>
      <c r="B144" s="127" t="s">
        <v>651</v>
      </c>
      <c r="C144" s="127" t="s">
        <v>652</v>
      </c>
      <c r="D144" s="127" t="s">
        <v>127</v>
      </c>
      <c r="E144" s="127" t="s">
        <v>653</v>
      </c>
      <c r="F144" s="127" t="s">
        <v>129</v>
      </c>
      <c r="G144" s="127" t="s">
        <v>79</v>
      </c>
      <c r="H144" s="127" t="s">
        <v>93</v>
      </c>
      <c r="I144" s="128">
        <v>1.9501133786848071</v>
      </c>
      <c r="J144" s="128">
        <v>7.1921710000000001</v>
      </c>
      <c r="K144" s="128">
        <v>0.60498200000000002</v>
      </c>
      <c r="L144" s="128">
        <v>0.70462599999999997</v>
      </c>
      <c r="M144" s="128">
        <v>0.67259800000000003</v>
      </c>
      <c r="N144" s="128">
        <v>1.2242</v>
      </c>
      <c r="O144" s="128">
        <v>7.9466190000000001</v>
      </c>
      <c r="P144" s="128">
        <v>0</v>
      </c>
      <c r="Q144" s="128">
        <v>3.5590000000000001E-3</v>
      </c>
      <c r="R144" s="128">
        <v>0.61921700000000002</v>
      </c>
      <c r="S144" s="128">
        <v>0.54804299999999995</v>
      </c>
      <c r="T144" s="128">
        <v>1.0996440000000001</v>
      </c>
      <c r="U144" s="128">
        <v>6.9074739999999997</v>
      </c>
      <c r="V144" s="128">
        <v>4.875445</v>
      </c>
      <c r="W144" s="127"/>
      <c r="X144" s="127" t="s">
        <v>110</v>
      </c>
      <c r="Y144" s="129">
        <v>46147</v>
      </c>
      <c r="Z144" s="127" t="s">
        <v>111</v>
      </c>
      <c r="AA144" s="127" t="s">
        <v>54</v>
      </c>
    </row>
    <row r="145" spans="1:27" ht="15.75" x14ac:dyDescent="0.25">
      <c r="A145" s="127" t="s">
        <v>654</v>
      </c>
      <c r="B145" s="127" t="s">
        <v>655</v>
      </c>
      <c r="C145" s="127" t="s">
        <v>656</v>
      </c>
      <c r="D145" s="127" t="s">
        <v>540</v>
      </c>
      <c r="E145" s="127" t="s">
        <v>657</v>
      </c>
      <c r="F145" s="127" t="s">
        <v>297</v>
      </c>
      <c r="G145" s="127" t="s">
        <v>79</v>
      </c>
      <c r="H145" s="127" t="s">
        <v>93</v>
      </c>
      <c r="I145" s="128">
        <v>9.3524999999999991</v>
      </c>
      <c r="J145" s="128">
        <v>4.8896800000000002</v>
      </c>
      <c r="K145" s="128">
        <v>1.5409250000000001</v>
      </c>
      <c r="L145" s="128">
        <v>0.79359400000000002</v>
      </c>
      <c r="M145" s="128">
        <v>1.1138790000000001</v>
      </c>
      <c r="N145" s="128">
        <v>1.1850529999999999</v>
      </c>
      <c r="O145" s="128">
        <v>6.6120999999999999</v>
      </c>
      <c r="P145" s="128">
        <v>0.26690399999999997</v>
      </c>
      <c r="Q145" s="128">
        <v>0.27402100000000001</v>
      </c>
      <c r="R145" s="128">
        <v>0.53024899999999997</v>
      </c>
      <c r="S145" s="128">
        <v>0.95373699999999995</v>
      </c>
      <c r="T145" s="128">
        <v>0.55515999999999999</v>
      </c>
      <c r="U145" s="128">
        <v>6.2989319999999998</v>
      </c>
      <c r="V145" s="128">
        <v>5.6690389999999997</v>
      </c>
      <c r="W145" s="127"/>
      <c r="X145" s="127" t="s">
        <v>80</v>
      </c>
      <c r="Y145" s="129">
        <v>45455</v>
      </c>
      <c r="Z145" s="127" t="s">
        <v>81</v>
      </c>
      <c r="AA145" s="127" t="s">
        <v>54</v>
      </c>
    </row>
    <row r="146" spans="1:27" ht="15.75" x14ac:dyDescent="0.25">
      <c r="A146" s="127" t="s">
        <v>658</v>
      </c>
      <c r="B146" s="127" t="s">
        <v>659</v>
      </c>
      <c r="C146" s="127" t="s">
        <v>660</v>
      </c>
      <c r="D146" s="127" t="s">
        <v>65</v>
      </c>
      <c r="E146" s="127" t="s">
        <v>661</v>
      </c>
      <c r="F146" s="127" t="s">
        <v>49</v>
      </c>
      <c r="G146" s="127" t="s">
        <v>79</v>
      </c>
      <c r="H146" s="127" t="s">
        <v>51</v>
      </c>
      <c r="I146" s="128">
        <v>1.9423963133640549</v>
      </c>
      <c r="J146" s="128">
        <v>1.690391</v>
      </c>
      <c r="K146" s="128">
        <v>0.57295399999999996</v>
      </c>
      <c r="L146" s="128">
        <v>0.40925299999999998</v>
      </c>
      <c r="M146" s="128">
        <v>0.34163700000000002</v>
      </c>
      <c r="N146" s="128">
        <v>0.47686800000000001</v>
      </c>
      <c r="O146" s="128">
        <v>2.5373670000000002</v>
      </c>
      <c r="P146" s="128">
        <v>0</v>
      </c>
      <c r="Q146" s="128">
        <v>0</v>
      </c>
      <c r="R146" s="128">
        <v>0.16014200000000001</v>
      </c>
      <c r="S146" s="128">
        <v>0.170819</v>
      </c>
      <c r="T146" s="128">
        <v>0.33096100000000001</v>
      </c>
      <c r="U146" s="128">
        <v>2.3523130000000001</v>
      </c>
      <c r="V146" s="128">
        <v>1.978648</v>
      </c>
      <c r="W146" s="127"/>
      <c r="X146" s="127" t="s">
        <v>173</v>
      </c>
      <c r="Y146" s="131">
        <v>45758</v>
      </c>
      <c r="Z146" s="127" t="s">
        <v>95</v>
      </c>
      <c r="AA146" s="127" t="s">
        <v>54</v>
      </c>
    </row>
    <row r="147" spans="1:27" ht="15.75" x14ac:dyDescent="0.25">
      <c r="A147" s="127" t="s">
        <v>662</v>
      </c>
      <c r="B147" s="127" t="s">
        <v>663</v>
      </c>
      <c r="C147" s="127" t="s">
        <v>664</v>
      </c>
      <c r="D147" s="127" t="s">
        <v>458</v>
      </c>
      <c r="E147" s="127" t="s">
        <v>665</v>
      </c>
      <c r="F147" s="127" t="s">
        <v>162</v>
      </c>
      <c r="G147" s="127" t="s">
        <v>206</v>
      </c>
      <c r="H147" s="127" t="s">
        <v>51</v>
      </c>
      <c r="I147" s="128">
        <v>50.428942807625653</v>
      </c>
      <c r="J147" s="128">
        <v>199.29181500000001</v>
      </c>
      <c r="K147" s="128">
        <v>118.747331</v>
      </c>
      <c r="L147" s="128">
        <v>84.049822000000006</v>
      </c>
      <c r="M147" s="128">
        <v>61.451957</v>
      </c>
      <c r="N147" s="128">
        <v>168.31672599999999</v>
      </c>
      <c r="O147" s="128">
        <v>295.17081899999999</v>
      </c>
      <c r="P147" s="128">
        <v>0</v>
      </c>
      <c r="Q147" s="128">
        <v>5.3380999999999998E-2</v>
      </c>
      <c r="R147" s="128">
        <v>110.683274</v>
      </c>
      <c r="S147" s="128">
        <v>46.654803999999999</v>
      </c>
      <c r="T147" s="128">
        <v>76.234875000000002</v>
      </c>
      <c r="U147" s="128">
        <v>229.967972</v>
      </c>
      <c r="V147" s="128">
        <v>208.053381</v>
      </c>
      <c r="W147" s="127"/>
      <c r="X147" s="127" t="s">
        <v>52</v>
      </c>
      <c r="Y147" s="129">
        <v>45743</v>
      </c>
      <c r="Z147" s="127" t="s">
        <v>95</v>
      </c>
      <c r="AA147" s="127" t="s">
        <v>54</v>
      </c>
    </row>
    <row r="148" spans="1:27" ht="15.75" x14ac:dyDescent="0.25">
      <c r="A148" s="127" t="s">
        <v>666</v>
      </c>
      <c r="B148" s="127" t="s">
        <v>667</v>
      </c>
      <c r="C148" s="127" t="s">
        <v>668</v>
      </c>
      <c r="D148" s="127" t="s">
        <v>669</v>
      </c>
      <c r="E148" s="127" t="s">
        <v>670</v>
      </c>
      <c r="F148" s="127" t="s">
        <v>378</v>
      </c>
      <c r="G148" s="127" t="s">
        <v>79</v>
      </c>
      <c r="H148" s="127" t="s">
        <v>93</v>
      </c>
      <c r="I148" s="128">
        <v>2.4562383612662941</v>
      </c>
      <c r="J148" s="128">
        <v>2.5836299999999999</v>
      </c>
      <c r="K148" s="128">
        <v>0.87188600000000005</v>
      </c>
      <c r="L148" s="128">
        <v>0.70462599999999997</v>
      </c>
      <c r="M148" s="128">
        <v>0.56583600000000001</v>
      </c>
      <c r="N148" s="128">
        <v>0.93950199999999995</v>
      </c>
      <c r="O148" s="128">
        <v>3.6263350000000001</v>
      </c>
      <c r="P148" s="128">
        <v>0</v>
      </c>
      <c r="Q148" s="128">
        <v>0.16014200000000001</v>
      </c>
      <c r="R148" s="128">
        <v>0.38078299999999998</v>
      </c>
      <c r="S148" s="128">
        <v>0.48042699999999999</v>
      </c>
      <c r="T148" s="128">
        <v>0.86832699999999996</v>
      </c>
      <c r="U148" s="128">
        <v>2.9964409999999999</v>
      </c>
      <c r="V148" s="128">
        <v>2.565836</v>
      </c>
      <c r="W148" s="127"/>
      <c r="X148" s="127" t="s">
        <v>671</v>
      </c>
      <c r="Y148" s="129">
        <v>46086</v>
      </c>
      <c r="Z148" s="127" t="s">
        <v>101</v>
      </c>
      <c r="AA148" s="127" t="s">
        <v>54</v>
      </c>
    </row>
    <row r="149" spans="1:27" ht="15.75" x14ac:dyDescent="0.25">
      <c r="A149" s="127" t="s">
        <v>672</v>
      </c>
      <c r="B149" s="127" t="s">
        <v>673</v>
      </c>
      <c r="C149" s="127" t="s">
        <v>674</v>
      </c>
      <c r="D149" s="127" t="s">
        <v>166</v>
      </c>
      <c r="E149" s="127" t="s">
        <v>675</v>
      </c>
      <c r="F149" s="127" t="s">
        <v>156</v>
      </c>
      <c r="G149" s="127" t="s">
        <v>61</v>
      </c>
      <c r="H149" s="127" t="s">
        <v>93</v>
      </c>
      <c r="I149" s="128">
        <v>53.062364816149973</v>
      </c>
      <c r="J149" s="128">
        <v>1027.5516009999999</v>
      </c>
      <c r="K149" s="128">
        <v>112.032028</v>
      </c>
      <c r="L149" s="128">
        <v>71.761566000000002</v>
      </c>
      <c r="M149" s="128">
        <v>54.939501999999997</v>
      </c>
      <c r="N149" s="128">
        <v>137.12455499999999</v>
      </c>
      <c r="O149" s="128">
        <v>1023.768683</v>
      </c>
      <c r="P149" s="128">
        <v>6.8861210000000002</v>
      </c>
      <c r="Q149" s="128">
        <v>98.505337999999995</v>
      </c>
      <c r="R149" s="128">
        <v>63.284697999999999</v>
      </c>
      <c r="S149" s="128">
        <v>50.302491000000003</v>
      </c>
      <c r="T149" s="128">
        <v>90.914591000000001</v>
      </c>
      <c r="U149" s="128">
        <v>1061.7829180000001</v>
      </c>
      <c r="V149" s="128">
        <v>672.04982199999995</v>
      </c>
      <c r="W149" s="128">
        <v>1800</v>
      </c>
      <c r="X149" s="127" t="s">
        <v>173</v>
      </c>
      <c r="Y149" s="129">
        <v>45720</v>
      </c>
      <c r="Z149" s="127" t="s">
        <v>95</v>
      </c>
      <c r="AA149" s="127" t="s">
        <v>54</v>
      </c>
    </row>
    <row r="150" spans="1:27" ht="15.75" x14ac:dyDescent="0.25">
      <c r="A150" s="127" t="s">
        <v>676</v>
      </c>
      <c r="B150" s="127" t="s">
        <v>677</v>
      </c>
      <c r="C150" s="127" t="s">
        <v>594</v>
      </c>
      <c r="D150" s="127" t="s">
        <v>154</v>
      </c>
      <c r="E150" s="127" t="s">
        <v>678</v>
      </c>
      <c r="F150" s="127" t="s">
        <v>156</v>
      </c>
      <c r="G150" s="127" t="s">
        <v>79</v>
      </c>
      <c r="H150" s="127" t="s">
        <v>51</v>
      </c>
      <c r="I150" s="128">
        <v>32.881699346405227</v>
      </c>
      <c r="J150" s="128">
        <v>124.024911</v>
      </c>
      <c r="K150" s="128">
        <v>23.957294999999998</v>
      </c>
      <c r="L150" s="128">
        <v>17.284697999999999</v>
      </c>
      <c r="M150" s="128">
        <v>15.647686999999999</v>
      </c>
      <c r="N150" s="128">
        <v>37.270462999999999</v>
      </c>
      <c r="O150" s="128">
        <v>143.64412899999999</v>
      </c>
      <c r="P150" s="128">
        <v>0</v>
      </c>
      <c r="Q150" s="128">
        <v>0</v>
      </c>
      <c r="R150" s="128">
        <v>21.843416000000001</v>
      </c>
      <c r="S150" s="128">
        <v>10.430605</v>
      </c>
      <c r="T150" s="128">
        <v>11.914591</v>
      </c>
      <c r="U150" s="128">
        <v>136.725978</v>
      </c>
      <c r="V150" s="128">
        <v>116.419929</v>
      </c>
      <c r="W150" s="127"/>
      <c r="X150" s="127"/>
      <c r="Y150" s="130" t="s">
        <v>138</v>
      </c>
      <c r="Z150" s="127"/>
      <c r="AA150" s="127"/>
    </row>
    <row r="151" spans="1:27" ht="15.75" x14ac:dyDescent="0.25">
      <c r="A151" s="127" t="s">
        <v>679</v>
      </c>
      <c r="B151" s="127" t="s">
        <v>680</v>
      </c>
      <c r="C151" s="127" t="s">
        <v>681</v>
      </c>
      <c r="D151" s="127" t="s">
        <v>682</v>
      </c>
      <c r="E151" s="127" t="s">
        <v>683</v>
      </c>
      <c r="F151" s="127" t="s">
        <v>78</v>
      </c>
      <c r="G151" s="127" t="s">
        <v>61</v>
      </c>
      <c r="H151" s="127" t="s">
        <v>93</v>
      </c>
      <c r="I151" s="128">
        <v>57.539568345323737</v>
      </c>
      <c r="J151" s="128">
        <v>496.74377199999998</v>
      </c>
      <c r="K151" s="128">
        <v>191.754448</v>
      </c>
      <c r="L151" s="128">
        <v>300.15302500000001</v>
      </c>
      <c r="M151" s="128">
        <v>185.15302500000001</v>
      </c>
      <c r="N151" s="128">
        <v>309.79359499999998</v>
      </c>
      <c r="O151" s="128">
        <v>742.85053400000004</v>
      </c>
      <c r="P151" s="128">
        <v>25.259785999999998</v>
      </c>
      <c r="Q151" s="128">
        <v>95.900356000000002</v>
      </c>
      <c r="R151" s="128">
        <v>241.281139</v>
      </c>
      <c r="S151" s="128">
        <v>90.081851</v>
      </c>
      <c r="T151" s="128">
        <v>90.633452000000005</v>
      </c>
      <c r="U151" s="128">
        <v>751.80782899999997</v>
      </c>
      <c r="V151" s="128">
        <v>724.441281</v>
      </c>
      <c r="W151" s="128">
        <v>1653</v>
      </c>
      <c r="X151" s="127" t="s">
        <v>52</v>
      </c>
      <c r="Y151" s="129">
        <v>46177</v>
      </c>
      <c r="Z151" s="127" t="s">
        <v>309</v>
      </c>
      <c r="AA151" s="127" t="s">
        <v>54</v>
      </c>
    </row>
    <row r="152" spans="1:27" ht="15.75" x14ac:dyDescent="0.25">
      <c r="A152" s="127" t="s">
        <v>684</v>
      </c>
      <c r="B152" s="127" t="s">
        <v>685</v>
      </c>
      <c r="C152" s="127" t="s">
        <v>686</v>
      </c>
      <c r="D152" s="127" t="s">
        <v>272</v>
      </c>
      <c r="E152" s="127" t="s">
        <v>687</v>
      </c>
      <c r="F152" s="127" t="s">
        <v>150</v>
      </c>
      <c r="G152" s="127" t="s">
        <v>79</v>
      </c>
      <c r="H152" s="127" t="s">
        <v>93</v>
      </c>
      <c r="I152" s="128">
        <v>18.323699421965319</v>
      </c>
      <c r="J152" s="128">
        <v>3.1708189999999998</v>
      </c>
      <c r="K152" s="128">
        <v>5.1067619999999998</v>
      </c>
      <c r="L152" s="128">
        <v>2.1494659999999999</v>
      </c>
      <c r="M152" s="128">
        <v>0.185053</v>
      </c>
      <c r="N152" s="128">
        <v>1.209964</v>
      </c>
      <c r="O152" s="128">
        <v>8.8576510000000006</v>
      </c>
      <c r="P152" s="128">
        <v>0</v>
      </c>
      <c r="Q152" s="128">
        <v>0.54448399999999997</v>
      </c>
      <c r="R152" s="128">
        <v>0.56227799999999994</v>
      </c>
      <c r="S152" s="128">
        <v>0.27757999999999999</v>
      </c>
      <c r="T152" s="128">
        <v>0.70462599999999997</v>
      </c>
      <c r="U152" s="128">
        <v>9.0676159999999992</v>
      </c>
      <c r="V152" s="128">
        <v>6.1494660000000003</v>
      </c>
      <c r="W152" s="127"/>
      <c r="X152" s="127" t="s">
        <v>80</v>
      </c>
      <c r="Y152" s="129">
        <v>46170</v>
      </c>
      <c r="Z152" s="127" t="s">
        <v>111</v>
      </c>
      <c r="AA152" s="127" t="s">
        <v>54</v>
      </c>
    </row>
    <row r="153" spans="1:27" ht="15.75" x14ac:dyDescent="0.25">
      <c r="A153" s="127" t="s">
        <v>688</v>
      </c>
      <c r="B153" s="127" t="s">
        <v>689</v>
      </c>
      <c r="C153" s="127" t="s">
        <v>690</v>
      </c>
      <c r="D153" s="127" t="s">
        <v>691</v>
      </c>
      <c r="E153" s="127" t="s">
        <v>692</v>
      </c>
      <c r="F153" s="127" t="s">
        <v>108</v>
      </c>
      <c r="G153" s="127" t="s">
        <v>79</v>
      </c>
      <c r="H153" s="127" t="s">
        <v>93</v>
      </c>
      <c r="I153" s="128">
        <v>13.59808612440191</v>
      </c>
      <c r="J153" s="128">
        <v>8.8576510000000006</v>
      </c>
      <c r="K153" s="128">
        <v>0.32740200000000003</v>
      </c>
      <c r="L153" s="128">
        <v>0.71886099999999997</v>
      </c>
      <c r="M153" s="128">
        <v>0.34875400000000001</v>
      </c>
      <c r="N153" s="128">
        <v>0.55160100000000001</v>
      </c>
      <c r="O153" s="128">
        <v>9.7010679999999994</v>
      </c>
      <c r="P153" s="128">
        <v>0</v>
      </c>
      <c r="Q153" s="128">
        <v>0</v>
      </c>
      <c r="R153" s="128">
        <v>0.38790000000000002</v>
      </c>
      <c r="S153" s="128">
        <v>7.1174000000000001E-2</v>
      </c>
      <c r="T153" s="128">
        <v>0.44484000000000001</v>
      </c>
      <c r="U153" s="128">
        <v>9.3487550000000006</v>
      </c>
      <c r="V153" s="128">
        <v>5.3274020000000002</v>
      </c>
      <c r="W153" s="127"/>
      <c r="X153" s="127" t="s">
        <v>110</v>
      </c>
      <c r="Y153" s="129">
        <v>45869</v>
      </c>
      <c r="Z153" s="127" t="s">
        <v>111</v>
      </c>
      <c r="AA153" s="127" t="s">
        <v>54</v>
      </c>
    </row>
    <row r="154" spans="1:27" ht="15.75" x14ac:dyDescent="0.25">
      <c r="A154" s="127" t="s">
        <v>693</v>
      </c>
      <c r="B154" s="127" t="s">
        <v>694</v>
      </c>
      <c r="C154" s="127" t="s">
        <v>695</v>
      </c>
      <c r="D154" s="127" t="s">
        <v>121</v>
      </c>
      <c r="E154" s="127" t="s">
        <v>696</v>
      </c>
      <c r="F154" s="127" t="s">
        <v>123</v>
      </c>
      <c r="G154" s="127" t="s">
        <v>79</v>
      </c>
      <c r="H154" s="127" t="s">
        <v>93</v>
      </c>
      <c r="I154" s="128">
        <v>39.717494089834517</v>
      </c>
      <c r="J154" s="128">
        <v>63.081851</v>
      </c>
      <c r="K154" s="128">
        <v>31.192170999999998</v>
      </c>
      <c r="L154" s="128">
        <v>20.085408999999999</v>
      </c>
      <c r="M154" s="128">
        <v>21.135231000000001</v>
      </c>
      <c r="N154" s="128">
        <v>40.259785999999998</v>
      </c>
      <c r="O154" s="128">
        <v>95.039146000000002</v>
      </c>
      <c r="P154" s="128">
        <v>3.5587000000000001E-2</v>
      </c>
      <c r="Q154" s="128">
        <v>0.16014200000000001</v>
      </c>
      <c r="R154" s="128">
        <v>20.686833</v>
      </c>
      <c r="S154" s="128">
        <v>16.665479999999999</v>
      </c>
      <c r="T154" s="128">
        <v>19.946618999999998</v>
      </c>
      <c r="U154" s="128">
        <v>78.195729999999998</v>
      </c>
      <c r="V154" s="128">
        <v>93.028469999999999</v>
      </c>
      <c r="W154" s="127"/>
      <c r="X154" s="127" t="s">
        <v>110</v>
      </c>
      <c r="Y154" s="129">
        <v>45834</v>
      </c>
      <c r="Z154" s="127" t="s">
        <v>95</v>
      </c>
      <c r="AA154" s="127" t="s">
        <v>54</v>
      </c>
    </row>
    <row r="155" spans="1:27" ht="15.75" x14ac:dyDescent="0.25">
      <c r="A155" s="127" t="s">
        <v>697</v>
      </c>
      <c r="B155" s="127" t="s">
        <v>698</v>
      </c>
      <c r="C155" s="127" t="s">
        <v>699</v>
      </c>
      <c r="D155" s="127" t="s">
        <v>85</v>
      </c>
      <c r="E155" s="127" t="s">
        <v>700</v>
      </c>
      <c r="F155" s="127" t="s">
        <v>87</v>
      </c>
      <c r="G155" s="127" t="s">
        <v>79</v>
      </c>
      <c r="H155" s="127" t="s">
        <v>93</v>
      </c>
      <c r="I155" s="128">
        <v>2.617724599472723</v>
      </c>
      <c r="J155" s="128">
        <v>26.879003999999998</v>
      </c>
      <c r="K155" s="128">
        <v>9.0498220000000007</v>
      </c>
      <c r="L155" s="128">
        <v>7.3914590000000002</v>
      </c>
      <c r="M155" s="128">
        <v>4.6725979999999998</v>
      </c>
      <c r="N155" s="128">
        <v>7.7259789999999997</v>
      </c>
      <c r="O155" s="128">
        <v>32.708185</v>
      </c>
      <c r="P155" s="128">
        <v>0.85765100000000005</v>
      </c>
      <c r="Q155" s="128">
        <v>6.7010680000000002</v>
      </c>
      <c r="R155" s="128">
        <v>4.0213520000000003</v>
      </c>
      <c r="S155" s="128">
        <v>4.1138789999999998</v>
      </c>
      <c r="T155" s="128">
        <v>3.1459069999999998</v>
      </c>
      <c r="U155" s="128">
        <v>36.711744000000003</v>
      </c>
      <c r="V155" s="128">
        <v>22.882562</v>
      </c>
      <c r="W155" s="127"/>
      <c r="X155" s="127" t="s">
        <v>52</v>
      </c>
      <c r="Y155" s="129" t="s">
        <v>94</v>
      </c>
      <c r="Z155" s="127" t="s">
        <v>95</v>
      </c>
      <c r="AA155" s="127" t="s">
        <v>54</v>
      </c>
    </row>
    <row r="156" spans="1:27" ht="15.75" x14ac:dyDescent="0.25">
      <c r="A156" s="127" t="s">
        <v>701</v>
      </c>
      <c r="B156" s="127" t="s">
        <v>702</v>
      </c>
      <c r="C156" s="127" t="s">
        <v>703</v>
      </c>
      <c r="D156" s="127" t="s">
        <v>127</v>
      </c>
      <c r="E156" s="127" t="s">
        <v>704</v>
      </c>
      <c r="F156" s="127" t="s">
        <v>129</v>
      </c>
      <c r="G156" s="127" t="s">
        <v>72</v>
      </c>
      <c r="H156" s="127" t="s">
        <v>51</v>
      </c>
      <c r="I156" s="128">
        <v>47.070437566702239</v>
      </c>
      <c r="J156" s="128">
        <v>25.024910999999999</v>
      </c>
      <c r="K156" s="128">
        <v>6.9323839999999999</v>
      </c>
      <c r="L156" s="128">
        <v>56.508896999999997</v>
      </c>
      <c r="M156" s="128">
        <v>65.548043000000007</v>
      </c>
      <c r="N156" s="128">
        <v>75.729536999999993</v>
      </c>
      <c r="O156" s="128">
        <v>77.455516000000003</v>
      </c>
      <c r="P156" s="128">
        <v>0.82918099999999995</v>
      </c>
      <c r="Q156" s="128">
        <v>0</v>
      </c>
      <c r="R156" s="128">
        <v>42.558719000000004</v>
      </c>
      <c r="S156" s="128">
        <v>33.480426999999999</v>
      </c>
      <c r="T156" s="128">
        <v>20.377223999999998</v>
      </c>
      <c r="U156" s="128">
        <v>57.597864999999999</v>
      </c>
      <c r="V156" s="128">
        <v>70.854093000000006</v>
      </c>
      <c r="W156" s="127"/>
      <c r="X156" s="127" t="s">
        <v>52</v>
      </c>
      <c r="Y156" s="129" t="s">
        <v>94</v>
      </c>
      <c r="Z156" s="127" t="s">
        <v>95</v>
      </c>
      <c r="AA156" s="127" t="s">
        <v>54</v>
      </c>
    </row>
    <row r="157" spans="1:27" ht="15.75" x14ac:dyDescent="0.25">
      <c r="A157" s="127" t="s">
        <v>705</v>
      </c>
      <c r="B157" s="127" t="s">
        <v>706</v>
      </c>
      <c r="C157" s="127" t="s">
        <v>707</v>
      </c>
      <c r="D157" s="127" t="s">
        <v>58</v>
      </c>
      <c r="E157" s="127" t="s">
        <v>708</v>
      </c>
      <c r="F157" s="127" t="s">
        <v>482</v>
      </c>
      <c r="G157" s="127" t="s">
        <v>61</v>
      </c>
      <c r="H157" s="127" t="s">
        <v>93</v>
      </c>
      <c r="I157" s="128">
        <v>61.249782671689367</v>
      </c>
      <c r="J157" s="128">
        <v>876.95373700000005</v>
      </c>
      <c r="K157" s="128">
        <v>205.42704599999999</v>
      </c>
      <c r="L157" s="128">
        <v>76.117438000000007</v>
      </c>
      <c r="M157" s="128">
        <v>72.946618999999998</v>
      </c>
      <c r="N157" s="128">
        <v>189.76868300000001</v>
      </c>
      <c r="O157" s="128">
        <v>832.224199</v>
      </c>
      <c r="P157" s="128">
        <v>13.597865000000001</v>
      </c>
      <c r="Q157" s="128">
        <v>195.85409300000001</v>
      </c>
      <c r="R157" s="128">
        <v>116.92526700000001</v>
      </c>
      <c r="S157" s="128">
        <v>42.576512000000001</v>
      </c>
      <c r="T157" s="128">
        <v>90.199287999999996</v>
      </c>
      <c r="U157" s="128">
        <v>981.74377200000004</v>
      </c>
      <c r="V157" s="128">
        <v>463.03914600000002</v>
      </c>
      <c r="W157" s="128">
        <v>750</v>
      </c>
      <c r="X157" s="127" t="s">
        <v>52</v>
      </c>
      <c r="Y157" s="129">
        <v>46079</v>
      </c>
      <c r="Z157" s="127" t="s">
        <v>53</v>
      </c>
      <c r="AA157" s="127" t="s">
        <v>54</v>
      </c>
    </row>
    <row r="158" spans="1:27" ht="15.75" x14ac:dyDescent="0.25">
      <c r="A158" s="127" t="s">
        <v>709</v>
      </c>
      <c r="B158" s="127" t="s">
        <v>710</v>
      </c>
      <c r="C158" s="127" t="s">
        <v>711</v>
      </c>
      <c r="D158" s="127" t="s">
        <v>235</v>
      </c>
      <c r="E158" s="127" t="s">
        <v>712</v>
      </c>
      <c r="F158" s="127" t="s">
        <v>237</v>
      </c>
      <c r="G158" s="127" t="s">
        <v>50</v>
      </c>
      <c r="H158" s="127" t="s">
        <v>93</v>
      </c>
      <c r="I158" s="128">
        <v>64.765808706704803</v>
      </c>
      <c r="J158" s="128">
        <v>615.76512500000001</v>
      </c>
      <c r="K158" s="128">
        <v>86.953737000000004</v>
      </c>
      <c r="L158" s="128">
        <v>71.562278000000006</v>
      </c>
      <c r="M158" s="128">
        <v>56.715302000000001</v>
      </c>
      <c r="N158" s="128">
        <v>125.996442</v>
      </c>
      <c r="O158" s="128">
        <v>567.48754499999995</v>
      </c>
      <c r="P158" s="128">
        <v>7</v>
      </c>
      <c r="Q158" s="128">
        <v>130.51245599999999</v>
      </c>
      <c r="R158" s="128">
        <v>59.896796999999999</v>
      </c>
      <c r="S158" s="128">
        <v>48.544483999999997</v>
      </c>
      <c r="T158" s="128">
        <v>59.459074999999999</v>
      </c>
      <c r="U158" s="128">
        <v>663.09608500000002</v>
      </c>
      <c r="V158" s="128">
        <v>349.45907499999998</v>
      </c>
      <c r="W158" s="128">
        <v>650</v>
      </c>
      <c r="X158" s="127" t="s">
        <v>52</v>
      </c>
      <c r="Y158" s="129">
        <v>46079</v>
      </c>
      <c r="Z158" s="127" t="s">
        <v>53</v>
      </c>
      <c r="AA158" s="127" t="s">
        <v>54</v>
      </c>
    </row>
    <row r="159" spans="1:27" ht="15.75" x14ac:dyDescent="0.25">
      <c r="A159" s="127" t="s">
        <v>713</v>
      </c>
      <c r="B159" s="127" t="s">
        <v>714</v>
      </c>
      <c r="C159" s="127" t="s">
        <v>715</v>
      </c>
      <c r="D159" s="127" t="s">
        <v>440</v>
      </c>
      <c r="E159" s="127" t="s">
        <v>716</v>
      </c>
      <c r="F159" s="127" t="s">
        <v>123</v>
      </c>
      <c r="G159" s="127" t="s">
        <v>72</v>
      </c>
      <c r="H159" s="127"/>
      <c r="I159" s="128">
        <v>54.75</v>
      </c>
      <c r="J159" s="128">
        <v>8.0533809999999999</v>
      </c>
      <c r="K159" s="128">
        <v>0.88968000000000003</v>
      </c>
      <c r="L159" s="128">
        <v>7.6690389999999997</v>
      </c>
      <c r="M159" s="128">
        <v>5.7971529999999998</v>
      </c>
      <c r="N159" s="128">
        <v>11.768682999999999</v>
      </c>
      <c r="O159" s="128">
        <v>10.640568999999999</v>
      </c>
      <c r="P159" s="128">
        <v>0</v>
      </c>
      <c r="Q159" s="128">
        <v>0</v>
      </c>
      <c r="R159" s="128">
        <v>8.1886119999999991</v>
      </c>
      <c r="S159" s="128">
        <v>1.587189</v>
      </c>
      <c r="T159" s="128">
        <v>2.718861</v>
      </c>
      <c r="U159" s="128">
        <v>9.9145909999999997</v>
      </c>
      <c r="V159" s="128">
        <v>14.085409</v>
      </c>
      <c r="W159" s="127"/>
      <c r="X159" s="127" t="s">
        <v>52</v>
      </c>
      <c r="Y159" s="129">
        <v>45918</v>
      </c>
      <c r="Z159" s="127" t="s">
        <v>309</v>
      </c>
      <c r="AA159" s="127" t="s">
        <v>54</v>
      </c>
    </row>
    <row r="160" spans="1:27" ht="15.75" x14ac:dyDescent="0.25">
      <c r="A160" s="127" t="s">
        <v>717</v>
      </c>
      <c r="B160" s="127" t="s">
        <v>718</v>
      </c>
      <c r="C160" s="127" t="s">
        <v>719</v>
      </c>
      <c r="D160" s="127" t="s">
        <v>549</v>
      </c>
      <c r="E160" s="127" t="s">
        <v>720</v>
      </c>
      <c r="F160" s="127" t="s">
        <v>150</v>
      </c>
      <c r="G160" s="127" t="s">
        <v>79</v>
      </c>
      <c r="H160" s="127" t="s">
        <v>93</v>
      </c>
      <c r="I160" s="128">
        <v>3.9344978165938871</v>
      </c>
      <c r="J160" s="128">
        <v>2.3167260000000001</v>
      </c>
      <c r="K160" s="128">
        <v>0.263345</v>
      </c>
      <c r="L160" s="128">
        <v>0.28825600000000001</v>
      </c>
      <c r="M160" s="128">
        <v>0.35231299999999999</v>
      </c>
      <c r="N160" s="128">
        <v>0.79359400000000002</v>
      </c>
      <c r="O160" s="128">
        <v>2.3594309999999998</v>
      </c>
      <c r="P160" s="128">
        <v>0</v>
      </c>
      <c r="Q160" s="128">
        <v>6.7615999999999996E-2</v>
      </c>
      <c r="R160" s="128">
        <v>0.25622800000000001</v>
      </c>
      <c r="S160" s="128">
        <v>0.18149499999999999</v>
      </c>
      <c r="T160" s="128">
        <v>0.43416399999999999</v>
      </c>
      <c r="U160" s="128">
        <v>2.348754</v>
      </c>
      <c r="V160" s="128">
        <v>2.1708189999999998</v>
      </c>
      <c r="W160" s="127"/>
      <c r="X160" s="127" t="s">
        <v>80</v>
      </c>
      <c r="Y160" s="129" t="s">
        <v>94</v>
      </c>
      <c r="Z160" s="127" t="s">
        <v>81</v>
      </c>
      <c r="AA160" s="127" t="s">
        <v>54</v>
      </c>
    </row>
    <row r="161" spans="1:27" ht="15.75" x14ac:dyDescent="0.25">
      <c r="A161" s="127" t="s">
        <v>721</v>
      </c>
      <c r="B161" s="127" t="s">
        <v>722</v>
      </c>
      <c r="C161" s="127" t="s">
        <v>723</v>
      </c>
      <c r="D161" s="127" t="s">
        <v>440</v>
      </c>
      <c r="E161" s="127" t="s">
        <v>724</v>
      </c>
      <c r="F161" s="127" t="s">
        <v>123</v>
      </c>
      <c r="G161" s="127" t="s">
        <v>79</v>
      </c>
      <c r="H161" s="127" t="s">
        <v>93</v>
      </c>
      <c r="I161" s="128">
        <v>37.065217391304351</v>
      </c>
      <c r="J161" s="128">
        <v>6.5836300000000003</v>
      </c>
      <c r="K161" s="128">
        <v>0.89323799999999998</v>
      </c>
      <c r="L161" s="128">
        <v>2.2313170000000002</v>
      </c>
      <c r="M161" s="128">
        <v>1.427046</v>
      </c>
      <c r="N161" s="128">
        <v>1.594306</v>
      </c>
      <c r="O161" s="128">
        <v>7.6192169999999999</v>
      </c>
      <c r="P161" s="128">
        <v>0.25622800000000001</v>
      </c>
      <c r="Q161" s="128">
        <v>1.6654800000000001</v>
      </c>
      <c r="R161" s="128">
        <v>0.50177899999999998</v>
      </c>
      <c r="S161" s="128">
        <v>0.83274000000000004</v>
      </c>
      <c r="T161" s="128">
        <v>1.078292</v>
      </c>
      <c r="U161" s="128">
        <v>8.7224199999999996</v>
      </c>
      <c r="V161" s="128">
        <v>6.2597860000000001</v>
      </c>
      <c r="W161" s="127"/>
      <c r="X161" s="127" t="s">
        <v>110</v>
      </c>
      <c r="Y161" s="129">
        <v>46149</v>
      </c>
      <c r="Z161" s="127" t="s">
        <v>111</v>
      </c>
      <c r="AA161" s="127" t="s">
        <v>54</v>
      </c>
    </row>
    <row r="162" spans="1:27" ht="15.75" x14ac:dyDescent="0.25">
      <c r="A162" s="127" t="s">
        <v>725</v>
      </c>
      <c r="B162" s="127" t="s">
        <v>726</v>
      </c>
      <c r="C162" s="127" t="s">
        <v>727</v>
      </c>
      <c r="D162" s="127" t="s">
        <v>198</v>
      </c>
      <c r="E162" s="127" t="s">
        <v>728</v>
      </c>
      <c r="F162" s="127" t="s">
        <v>150</v>
      </c>
      <c r="G162" s="127" t="s">
        <v>79</v>
      </c>
      <c r="H162" s="127" t="s">
        <v>93</v>
      </c>
      <c r="I162" s="128">
        <v>44.653594771241828</v>
      </c>
      <c r="J162" s="128">
        <v>5.7437719999999999</v>
      </c>
      <c r="K162" s="128">
        <v>4.313167</v>
      </c>
      <c r="L162" s="128">
        <v>5.434164</v>
      </c>
      <c r="M162" s="128">
        <v>7.6192169999999999</v>
      </c>
      <c r="N162" s="128">
        <v>12.209963999999999</v>
      </c>
      <c r="O162" s="128">
        <v>8.9003560000000004</v>
      </c>
      <c r="P162" s="128">
        <v>1.1352310000000001</v>
      </c>
      <c r="Q162" s="128">
        <v>0.86476900000000001</v>
      </c>
      <c r="R162" s="128">
        <v>6.4377219999999999</v>
      </c>
      <c r="S162" s="128">
        <v>6.0249110000000003</v>
      </c>
      <c r="T162" s="128">
        <v>5.558719</v>
      </c>
      <c r="U162" s="128">
        <v>5.0889680000000004</v>
      </c>
      <c r="V162" s="128">
        <v>18.145907000000001</v>
      </c>
      <c r="W162" s="127"/>
      <c r="X162" s="127" t="s">
        <v>52</v>
      </c>
      <c r="Y162" s="129">
        <v>45694</v>
      </c>
      <c r="Z162" s="127" t="s">
        <v>95</v>
      </c>
      <c r="AA162" s="127" t="s">
        <v>54</v>
      </c>
    </row>
    <row r="163" spans="1:27" ht="15.75" x14ac:dyDescent="0.25">
      <c r="A163" s="127" t="s">
        <v>729</v>
      </c>
      <c r="B163" s="127" t="s">
        <v>730</v>
      </c>
      <c r="C163" s="127" t="s">
        <v>731</v>
      </c>
      <c r="D163" s="127" t="s">
        <v>99</v>
      </c>
      <c r="E163" s="127" t="s">
        <v>732</v>
      </c>
      <c r="F163" s="127" t="s">
        <v>49</v>
      </c>
      <c r="G163" s="127" t="s">
        <v>72</v>
      </c>
      <c r="H163" s="127" t="s">
        <v>93</v>
      </c>
      <c r="I163" s="128">
        <v>4.0969116080937171</v>
      </c>
      <c r="J163" s="128">
        <v>31.135231000000001</v>
      </c>
      <c r="K163" s="128">
        <v>4.9857649999999998</v>
      </c>
      <c r="L163" s="128">
        <v>2.6085410000000002</v>
      </c>
      <c r="M163" s="128">
        <v>2.4661919999999999</v>
      </c>
      <c r="N163" s="128">
        <v>4.5053380000000001</v>
      </c>
      <c r="O163" s="128">
        <v>31.758006999999999</v>
      </c>
      <c r="P163" s="128">
        <v>1.2740210000000001</v>
      </c>
      <c r="Q163" s="128">
        <v>3.658363</v>
      </c>
      <c r="R163" s="128">
        <v>2.0320279999999999</v>
      </c>
      <c r="S163" s="128">
        <v>1.6975089999999999</v>
      </c>
      <c r="T163" s="128">
        <v>3.3594309999999998</v>
      </c>
      <c r="U163" s="128">
        <v>34.106760999999999</v>
      </c>
      <c r="V163" s="128">
        <v>23.355872000000002</v>
      </c>
      <c r="W163" s="127"/>
      <c r="X163" s="127" t="s">
        <v>52</v>
      </c>
      <c r="Y163" s="129">
        <v>46163</v>
      </c>
      <c r="Z163" s="127" t="s">
        <v>95</v>
      </c>
      <c r="AA163" s="127" t="s">
        <v>54</v>
      </c>
    </row>
    <row r="164" spans="1:27" ht="15.75" x14ac:dyDescent="0.25">
      <c r="A164" s="127" t="s">
        <v>733</v>
      </c>
      <c r="B164" s="127" t="s">
        <v>734</v>
      </c>
      <c r="C164" s="127" t="s">
        <v>735</v>
      </c>
      <c r="D164" s="127" t="s">
        <v>177</v>
      </c>
      <c r="E164" s="127" t="s">
        <v>736</v>
      </c>
      <c r="F164" s="127" t="s">
        <v>179</v>
      </c>
      <c r="G164" s="127" t="s">
        <v>72</v>
      </c>
      <c r="H164" s="127" t="s">
        <v>51</v>
      </c>
      <c r="I164" s="128">
        <v>66.149714285714282</v>
      </c>
      <c r="J164" s="128">
        <v>142.92526699999999</v>
      </c>
      <c r="K164" s="128">
        <v>47.110320000000002</v>
      </c>
      <c r="L164" s="128">
        <v>31.747330999999999</v>
      </c>
      <c r="M164" s="128">
        <v>25.971530000000001</v>
      </c>
      <c r="N164" s="128">
        <v>64.238434999999996</v>
      </c>
      <c r="O164" s="128">
        <v>183.51601400000001</v>
      </c>
      <c r="P164" s="128">
        <v>0</v>
      </c>
      <c r="Q164" s="128">
        <v>0</v>
      </c>
      <c r="R164" s="128">
        <v>40.056939999999997</v>
      </c>
      <c r="S164" s="128">
        <v>19.718861</v>
      </c>
      <c r="T164" s="128">
        <v>26.362988999999999</v>
      </c>
      <c r="U164" s="128">
        <v>161.61565899999999</v>
      </c>
      <c r="V164" s="128">
        <v>108.213523</v>
      </c>
      <c r="W164" s="128">
        <v>285</v>
      </c>
      <c r="X164" s="127" t="s">
        <v>52</v>
      </c>
      <c r="Y164" s="129">
        <v>45715</v>
      </c>
      <c r="Z164" s="127" t="s">
        <v>53</v>
      </c>
      <c r="AA164" s="127" t="s">
        <v>54</v>
      </c>
    </row>
    <row r="165" spans="1:27" ht="15.75" x14ac:dyDescent="0.25">
      <c r="A165" s="127" t="s">
        <v>737</v>
      </c>
      <c r="B165" s="127" t="s">
        <v>738</v>
      </c>
      <c r="C165" s="127" t="s">
        <v>739</v>
      </c>
      <c r="D165" s="127" t="s">
        <v>65</v>
      </c>
      <c r="E165" s="127" t="s">
        <v>740</v>
      </c>
      <c r="F165" s="127" t="s">
        <v>49</v>
      </c>
      <c r="G165" s="127" t="s">
        <v>50</v>
      </c>
      <c r="H165" s="127" t="s">
        <v>51</v>
      </c>
      <c r="I165" s="128">
        <v>15.78738992081699</v>
      </c>
      <c r="J165" s="128">
        <v>476.02847000000003</v>
      </c>
      <c r="K165" s="128">
        <v>110.291815</v>
      </c>
      <c r="L165" s="128">
        <v>115.523132</v>
      </c>
      <c r="M165" s="128">
        <v>99.725978999999995</v>
      </c>
      <c r="N165" s="128">
        <v>176.09608600000001</v>
      </c>
      <c r="O165" s="128">
        <v>625.45907499999998</v>
      </c>
      <c r="P165" s="128">
        <v>1.4234999999999999E-2</v>
      </c>
      <c r="Q165" s="128">
        <v>0</v>
      </c>
      <c r="R165" s="128">
        <v>111.89679700000001</v>
      </c>
      <c r="S165" s="128">
        <v>48.195729999999998</v>
      </c>
      <c r="T165" s="128">
        <v>69.035587000000007</v>
      </c>
      <c r="U165" s="128">
        <v>572.441281</v>
      </c>
      <c r="V165" s="128">
        <v>572.77224200000001</v>
      </c>
      <c r="W165" s="127"/>
      <c r="X165" s="127" t="s">
        <v>52</v>
      </c>
      <c r="Y165" s="129">
        <v>46114</v>
      </c>
      <c r="Z165" s="127" t="s">
        <v>53</v>
      </c>
      <c r="AA165" s="127" t="s">
        <v>54</v>
      </c>
    </row>
    <row r="166" spans="1:27" ht="15.75" x14ac:dyDescent="0.25">
      <c r="A166" s="127" t="s">
        <v>741</v>
      </c>
      <c r="B166" s="127" t="s">
        <v>742</v>
      </c>
      <c r="C166" s="127" t="s">
        <v>743</v>
      </c>
      <c r="D166" s="127" t="s">
        <v>85</v>
      </c>
      <c r="E166" s="127" t="s">
        <v>744</v>
      </c>
      <c r="F166" s="127" t="s">
        <v>87</v>
      </c>
      <c r="G166" s="127" t="s">
        <v>79</v>
      </c>
      <c r="H166" s="127" t="s">
        <v>93</v>
      </c>
      <c r="I166" s="128">
        <v>1.8148936170212771</v>
      </c>
      <c r="J166" s="128">
        <v>20.690391000000002</v>
      </c>
      <c r="K166" s="128">
        <v>4.9572950000000002</v>
      </c>
      <c r="L166" s="128">
        <v>4.3950180000000003</v>
      </c>
      <c r="M166" s="128">
        <v>3.309609</v>
      </c>
      <c r="N166" s="128">
        <v>5.3665479999999999</v>
      </c>
      <c r="O166" s="128">
        <v>21.209963999999999</v>
      </c>
      <c r="P166" s="128">
        <v>0.73665499999999995</v>
      </c>
      <c r="Q166" s="128">
        <v>6.0391459999999997</v>
      </c>
      <c r="R166" s="128">
        <v>3.846975</v>
      </c>
      <c r="S166" s="128">
        <v>2.252669</v>
      </c>
      <c r="T166" s="128">
        <v>3.594306</v>
      </c>
      <c r="U166" s="128">
        <v>23.658363000000001</v>
      </c>
      <c r="V166" s="128">
        <v>15.437722000000001</v>
      </c>
      <c r="W166" s="127"/>
      <c r="X166" s="127" t="s">
        <v>52</v>
      </c>
      <c r="Y166" s="129" t="s">
        <v>138</v>
      </c>
      <c r="Z166" s="127" t="s">
        <v>95</v>
      </c>
      <c r="AA166" s="127" t="s">
        <v>54</v>
      </c>
    </row>
    <row r="167" spans="1:27" ht="15.75" x14ac:dyDescent="0.25">
      <c r="A167" s="127" t="s">
        <v>745</v>
      </c>
      <c r="B167" s="127" t="s">
        <v>746</v>
      </c>
      <c r="C167" s="127" t="s">
        <v>747</v>
      </c>
      <c r="D167" s="127" t="s">
        <v>748</v>
      </c>
      <c r="E167" s="127" t="s">
        <v>749</v>
      </c>
      <c r="F167" s="127" t="s">
        <v>108</v>
      </c>
      <c r="G167" s="127" t="s">
        <v>72</v>
      </c>
      <c r="H167" s="127" t="s">
        <v>51</v>
      </c>
      <c r="I167" s="128">
        <v>44.019621109607577</v>
      </c>
      <c r="J167" s="128">
        <v>201.74021400000001</v>
      </c>
      <c r="K167" s="128">
        <v>34.099643999999998</v>
      </c>
      <c r="L167" s="128">
        <v>133.96441300000001</v>
      </c>
      <c r="M167" s="128">
        <v>119.323843</v>
      </c>
      <c r="N167" s="128">
        <v>119.790036</v>
      </c>
      <c r="O167" s="128">
        <v>369.03558700000002</v>
      </c>
      <c r="P167" s="128">
        <v>0.12099600000000001</v>
      </c>
      <c r="Q167" s="128">
        <v>0.18149499999999999</v>
      </c>
      <c r="R167" s="128">
        <v>84.839858000000007</v>
      </c>
      <c r="S167" s="128">
        <v>34.754447999999996</v>
      </c>
      <c r="T167" s="128">
        <v>37.163701000000003</v>
      </c>
      <c r="U167" s="128">
        <v>332.37010700000002</v>
      </c>
      <c r="V167" s="128">
        <v>230.56939499999999</v>
      </c>
      <c r="W167" s="127"/>
      <c r="X167" s="127" t="s">
        <v>52</v>
      </c>
      <c r="Y167" s="129">
        <v>46135</v>
      </c>
      <c r="Z167" s="127" t="s">
        <v>309</v>
      </c>
      <c r="AA167" s="127" t="s">
        <v>54</v>
      </c>
    </row>
    <row r="168" spans="1:27" ht="15.75" x14ac:dyDescent="0.25">
      <c r="A168" s="127" t="s">
        <v>750</v>
      </c>
      <c r="B168" s="127" t="s">
        <v>751</v>
      </c>
      <c r="C168" s="127" t="s">
        <v>752</v>
      </c>
      <c r="D168" s="127" t="s">
        <v>453</v>
      </c>
      <c r="E168" s="127" t="s">
        <v>753</v>
      </c>
      <c r="F168" s="127" t="s">
        <v>150</v>
      </c>
      <c r="G168" s="127" t="s">
        <v>79</v>
      </c>
      <c r="H168" s="127" t="s">
        <v>93</v>
      </c>
      <c r="I168" s="128">
        <v>22.787234042553191</v>
      </c>
      <c r="J168" s="128">
        <v>19.263345000000001</v>
      </c>
      <c r="K168" s="128">
        <v>16.007117000000001</v>
      </c>
      <c r="L168" s="128">
        <v>6.6014229999999996</v>
      </c>
      <c r="M168" s="128">
        <v>10.377224</v>
      </c>
      <c r="N168" s="128">
        <v>24.398577</v>
      </c>
      <c r="O168" s="128">
        <v>24.096084999999999</v>
      </c>
      <c r="P168" s="128">
        <v>0.54448399999999997</v>
      </c>
      <c r="Q168" s="128">
        <v>3.2099639999999998</v>
      </c>
      <c r="R168" s="128">
        <v>10.181495</v>
      </c>
      <c r="S168" s="128">
        <v>11.096085</v>
      </c>
      <c r="T168" s="128">
        <v>12.822063999999999</v>
      </c>
      <c r="U168" s="128">
        <v>18.149466</v>
      </c>
      <c r="V168" s="128">
        <v>35.430605</v>
      </c>
      <c r="W168" s="127"/>
      <c r="X168" s="127" t="s">
        <v>52</v>
      </c>
      <c r="Y168" s="129">
        <v>45694</v>
      </c>
      <c r="Z168" s="127" t="s">
        <v>95</v>
      </c>
      <c r="AA168" s="127" t="s">
        <v>102</v>
      </c>
    </row>
    <row r="169" spans="1:27" ht="15.75" x14ac:dyDescent="0.25">
      <c r="A169" s="127" t="s">
        <v>754</v>
      </c>
      <c r="B169" s="127" t="s">
        <v>755</v>
      </c>
      <c r="C169" s="127" t="s">
        <v>756</v>
      </c>
      <c r="D169" s="127" t="s">
        <v>115</v>
      </c>
      <c r="E169" s="127" t="s">
        <v>757</v>
      </c>
      <c r="F169" s="127" t="s">
        <v>260</v>
      </c>
      <c r="G169" s="127" t="s">
        <v>144</v>
      </c>
      <c r="H169" s="127" t="s">
        <v>93</v>
      </c>
      <c r="I169" s="128">
        <v>6.8163084064991422</v>
      </c>
      <c r="J169" s="128">
        <v>937.84341600000005</v>
      </c>
      <c r="K169" s="128">
        <v>87.818505000000002</v>
      </c>
      <c r="L169" s="128">
        <v>62.804270000000002</v>
      </c>
      <c r="M169" s="128">
        <v>63.348754</v>
      </c>
      <c r="N169" s="128">
        <v>164.441282</v>
      </c>
      <c r="O169" s="128">
        <v>975.35231299999998</v>
      </c>
      <c r="P169" s="128">
        <v>1.313167</v>
      </c>
      <c r="Q169" s="128">
        <v>10.708185</v>
      </c>
      <c r="R169" s="128">
        <v>82.928826000000001</v>
      </c>
      <c r="S169" s="128">
        <v>49.441280999999996</v>
      </c>
      <c r="T169" s="128">
        <v>90.153025</v>
      </c>
      <c r="U169" s="128">
        <v>929.29181500000004</v>
      </c>
      <c r="V169" s="128">
        <v>677.56583599999999</v>
      </c>
      <c r="W169" s="128">
        <v>650</v>
      </c>
      <c r="X169" s="127" t="s">
        <v>52</v>
      </c>
      <c r="Y169" s="129">
        <v>46163</v>
      </c>
      <c r="Z169" s="127" t="s">
        <v>53</v>
      </c>
      <c r="AA169" s="127" t="s">
        <v>54</v>
      </c>
    </row>
    <row r="170" spans="1:27" ht="15.75" x14ac:dyDescent="0.25">
      <c r="A170" s="127" t="s">
        <v>758</v>
      </c>
      <c r="B170" s="127" t="s">
        <v>759</v>
      </c>
      <c r="C170" s="127" t="s">
        <v>760</v>
      </c>
      <c r="D170" s="127" t="s">
        <v>453</v>
      </c>
      <c r="E170" s="127" t="s">
        <v>761</v>
      </c>
      <c r="F170" s="127" t="s">
        <v>150</v>
      </c>
      <c r="G170" s="127" t="s">
        <v>79</v>
      </c>
      <c r="H170" s="127" t="s">
        <v>93</v>
      </c>
      <c r="I170" s="128">
        <v>17.824053452115809</v>
      </c>
      <c r="J170" s="128">
        <v>6.1459070000000002</v>
      </c>
      <c r="K170" s="128">
        <v>2.2882560000000001</v>
      </c>
      <c r="L170" s="128">
        <v>4.7580070000000001</v>
      </c>
      <c r="M170" s="128">
        <v>15.281139</v>
      </c>
      <c r="N170" s="128">
        <v>15.985765000000001</v>
      </c>
      <c r="O170" s="128">
        <v>9.5195729999999994</v>
      </c>
      <c r="P170" s="128">
        <v>1.064057</v>
      </c>
      <c r="Q170" s="128">
        <v>1.903915</v>
      </c>
      <c r="R170" s="128">
        <v>12.412811</v>
      </c>
      <c r="S170" s="128">
        <v>4.6370110000000002</v>
      </c>
      <c r="T170" s="128">
        <v>4.2704630000000003</v>
      </c>
      <c r="U170" s="128">
        <v>7.1530250000000004</v>
      </c>
      <c r="V170" s="128">
        <v>22.982206000000001</v>
      </c>
      <c r="W170" s="127"/>
      <c r="X170" s="127" t="s">
        <v>52</v>
      </c>
      <c r="Y170" s="129">
        <v>45589</v>
      </c>
      <c r="Z170" s="127" t="s">
        <v>95</v>
      </c>
      <c r="AA170" s="127" t="s">
        <v>54</v>
      </c>
    </row>
    <row r="171" spans="1:27" ht="15.75" x14ac:dyDescent="0.25">
      <c r="A171" s="127" t="s">
        <v>762</v>
      </c>
      <c r="B171" s="127" t="s">
        <v>763</v>
      </c>
      <c r="C171" s="127" t="s">
        <v>764</v>
      </c>
      <c r="D171" s="127" t="s">
        <v>115</v>
      </c>
      <c r="E171" s="127" t="s">
        <v>765</v>
      </c>
      <c r="F171" s="127" t="s">
        <v>117</v>
      </c>
      <c r="G171" s="127" t="s">
        <v>50</v>
      </c>
      <c r="H171" s="127" t="s">
        <v>93</v>
      </c>
      <c r="I171" s="128">
        <v>16.518569940992709</v>
      </c>
      <c r="J171" s="128">
        <v>595.96441300000004</v>
      </c>
      <c r="K171" s="128">
        <v>95.419928999999996</v>
      </c>
      <c r="L171" s="128">
        <v>115.501779</v>
      </c>
      <c r="M171" s="128">
        <v>70.131673000000006</v>
      </c>
      <c r="N171" s="128">
        <v>130.48042699999999</v>
      </c>
      <c r="O171" s="128">
        <v>627.893238</v>
      </c>
      <c r="P171" s="128">
        <v>21.007117000000001</v>
      </c>
      <c r="Q171" s="128">
        <v>97.637011000000001</v>
      </c>
      <c r="R171" s="128">
        <v>94.530248999999998</v>
      </c>
      <c r="S171" s="128">
        <v>50.370106999999997</v>
      </c>
      <c r="T171" s="128">
        <v>76.807828999999998</v>
      </c>
      <c r="U171" s="128">
        <v>655.30960900000002</v>
      </c>
      <c r="V171" s="128">
        <v>589.18505300000004</v>
      </c>
      <c r="W171" s="128">
        <v>525</v>
      </c>
      <c r="X171" s="127" t="s">
        <v>52</v>
      </c>
      <c r="Y171" s="129">
        <v>46009</v>
      </c>
      <c r="Z171" s="127" t="s">
        <v>309</v>
      </c>
      <c r="AA171" s="127" t="s">
        <v>54</v>
      </c>
    </row>
    <row r="172" spans="1:27" ht="15.75" x14ac:dyDescent="0.25">
      <c r="A172" s="127" t="s">
        <v>766</v>
      </c>
      <c r="B172" s="127" t="s">
        <v>767</v>
      </c>
      <c r="C172" s="127" t="s">
        <v>768</v>
      </c>
      <c r="D172" s="127" t="s">
        <v>518</v>
      </c>
      <c r="E172" s="127" t="s">
        <v>769</v>
      </c>
      <c r="F172" s="127" t="s">
        <v>49</v>
      </c>
      <c r="G172" s="127" t="s">
        <v>79</v>
      </c>
      <c r="H172" s="127"/>
      <c r="I172" s="128">
        <v>1.6920995670995671</v>
      </c>
      <c r="J172" s="128">
        <v>7.0996439999999996</v>
      </c>
      <c r="K172" s="128">
        <v>1.7580070000000001</v>
      </c>
      <c r="L172" s="128">
        <v>1.1281140000000001</v>
      </c>
      <c r="M172" s="128">
        <v>0.93594299999999997</v>
      </c>
      <c r="N172" s="128">
        <v>2.5338080000000001</v>
      </c>
      <c r="O172" s="128">
        <v>8.3879000000000001</v>
      </c>
      <c r="P172" s="128">
        <v>0</v>
      </c>
      <c r="Q172" s="128">
        <v>0</v>
      </c>
      <c r="R172" s="128">
        <v>1.4946619999999999</v>
      </c>
      <c r="S172" s="128">
        <v>1.4804269999999999</v>
      </c>
      <c r="T172" s="128">
        <v>1.747331</v>
      </c>
      <c r="U172" s="128">
        <v>6.1992880000000001</v>
      </c>
      <c r="V172" s="128">
        <v>8.6654800000000005</v>
      </c>
      <c r="W172" s="127"/>
      <c r="X172" s="127"/>
      <c r="Y172" s="130" t="s">
        <v>138</v>
      </c>
      <c r="Z172" s="127"/>
      <c r="AA172" s="127"/>
    </row>
    <row r="173" spans="1:27" ht="15.75" x14ac:dyDescent="0.25">
      <c r="A173" s="127" t="s">
        <v>770</v>
      </c>
      <c r="B173" s="127" t="s">
        <v>771</v>
      </c>
      <c r="C173" s="127" t="s">
        <v>772</v>
      </c>
      <c r="D173" s="127" t="s">
        <v>115</v>
      </c>
      <c r="E173" s="127" t="s">
        <v>773</v>
      </c>
      <c r="F173" s="127" t="s">
        <v>117</v>
      </c>
      <c r="G173" s="127" t="s">
        <v>79</v>
      </c>
      <c r="H173" s="127" t="s">
        <v>93</v>
      </c>
      <c r="I173" s="128">
        <v>1.4766839378238339</v>
      </c>
      <c r="J173" s="128">
        <v>0.79359400000000002</v>
      </c>
      <c r="K173" s="128">
        <v>0.11032</v>
      </c>
      <c r="L173" s="128">
        <v>7.1174000000000001E-2</v>
      </c>
      <c r="M173" s="128">
        <v>5.3380999999999998E-2</v>
      </c>
      <c r="N173" s="128">
        <v>0.188612</v>
      </c>
      <c r="O173" s="128">
        <v>0.80071199999999998</v>
      </c>
      <c r="P173" s="128">
        <v>3.5590000000000001E-3</v>
      </c>
      <c r="Q173" s="128">
        <v>3.5587000000000001E-2</v>
      </c>
      <c r="R173" s="128">
        <v>6.4057000000000003E-2</v>
      </c>
      <c r="S173" s="128">
        <v>5.3380999999999998E-2</v>
      </c>
      <c r="T173" s="128">
        <v>0.156584</v>
      </c>
      <c r="U173" s="128">
        <v>0.75444800000000001</v>
      </c>
      <c r="V173" s="128">
        <v>0.44128099999999998</v>
      </c>
      <c r="W173" s="127"/>
      <c r="X173" s="127" t="s">
        <v>52</v>
      </c>
      <c r="Y173" s="129">
        <v>45896</v>
      </c>
      <c r="Z173" s="127" t="s">
        <v>111</v>
      </c>
      <c r="AA173" s="127" t="s">
        <v>54</v>
      </c>
    </row>
    <row r="174" spans="1:27" ht="15.75" x14ac:dyDescent="0.25">
      <c r="A174" s="127" t="s">
        <v>774</v>
      </c>
      <c r="B174" s="127" t="s">
        <v>775</v>
      </c>
      <c r="C174" s="127" t="s">
        <v>634</v>
      </c>
      <c r="D174" s="127" t="s">
        <v>65</v>
      </c>
      <c r="E174" s="127" t="s">
        <v>776</v>
      </c>
      <c r="F174" s="127" t="s">
        <v>49</v>
      </c>
      <c r="G174" s="127" t="s">
        <v>50</v>
      </c>
      <c r="H174" s="127" t="s">
        <v>93</v>
      </c>
      <c r="I174" s="128">
        <v>41.854019648540188</v>
      </c>
      <c r="J174" s="128">
        <v>778.69394999999997</v>
      </c>
      <c r="K174" s="128">
        <v>101.850534</v>
      </c>
      <c r="L174" s="128">
        <v>33.494661999999998</v>
      </c>
      <c r="M174" s="128">
        <v>25.113879000000001</v>
      </c>
      <c r="N174" s="128">
        <v>54.014234999999999</v>
      </c>
      <c r="O174" s="128">
        <v>269.46263399999998</v>
      </c>
      <c r="P174" s="128">
        <v>31.209963999999999</v>
      </c>
      <c r="Q174" s="128">
        <v>584.46619199999998</v>
      </c>
      <c r="R174" s="128">
        <v>37.594306000000003</v>
      </c>
      <c r="S174" s="128">
        <v>29.281139</v>
      </c>
      <c r="T174" s="128">
        <v>49.523131999999997</v>
      </c>
      <c r="U174" s="128">
        <v>822.75444800000002</v>
      </c>
      <c r="V174" s="128">
        <v>638.04982199999995</v>
      </c>
      <c r="W174" s="128">
        <v>677</v>
      </c>
      <c r="X174" s="127" t="s">
        <v>52</v>
      </c>
      <c r="Y174" s="129" t="s">
        <v>94</v>
      </c>
      <c r="Z174" s="127" t="s">
        <v>53</v>
      </c>
      <c r="AA174" s="127" t="s">
        <v>54</v>
      </c>
    </row>
    <row r="175" spans="1:27" ht="15.75" x14ac:dyDescent="0.25">
      <c r="A175" s="127" t="s">
        <v>777</v>
      </c>
      <c r="B175" s="127" t="s">
        <v>778</v>
      </c>
      <c r="C175" s="127" t="s">
        <v>544</v>
      </c>
      <c r="D175" s="127" t="s">
        <v>115</v>
      </c>
      <c r="E175" s="127" t="s">
        <v>779</v>
      </c>
      <c r="F175" s="127" t="s">
        <v>260</v>
      </c>
      <c r="G175" s="127" t="s">
        <v>206</v>
      </c>
      <c r="H175" s="127" t="s">
        <v>51</v>
      </c>
      <c r="I175" s="128">
        <v>55.927879440258337</v>
      </c>
      <c r="J175" s="128">
        <v>556.45907499999998</v>
      </c>
      <c r="K175" s="128">
        <v>42.608541000000002</v>
      </c>
      <c r="L175" s="128">
        <v>0.31316699999999997</v>
      </c>
      <c r="M175" s="128">
        <v>2.4910999999999999E-2</v>
      </c>
      <c r="N175" s="128">
        <v>36.028469999999999</v>
      </c>
      <c r="O175" s="128">
        <v>563.37722399999996</v>
      </c>
      <c r="P175" s="128">
        <v>0</v>
      </c>
      <c r="Q175" s="128">
        <v>0</v>
      </c>
      <c r="R175" s="128">
        <v>5.1316730000000002</v>
      </c>
      <c r="S175" s="128">
        <v>12.334519999999999</v>
      </c>
      <c r="T175" s="128">
        <v>38.338078000000003</v>
      </c>
      <c r="U175" s="128">
        <v>543.60142299999995</v>
      </c>
      <c r="V175" s="128">
        <v>337.24910999999997</v>
      </c>
      <c r="W175" s="128">
        <v>275</v>
      </c>
      <c r="X175" s="127" t="s">
        <v>52</v>
      </c>
      <c r="Y175" s="129">
        <v>45666</v>
      </c>
      <c r="Z175" s="127" t="s">
        <v>95</v>
      </c>
      <c r="AA175" s="127" t="s">
        <v>54</v>
      </c>
    </row>
    <row r="176" spans="1:27" ht="15.75" x14ac:dyDescent="0.25">
      <c r="A176" s="127" t="s">
        <v>780</v>
      </c>
      <c r="B176" s="127" t="s">
        <v>781</v>
      </c>
      <c r="C176" s="127" t="s">
        <v>782</v>
      </c>
      <c r="D176" s="127" t="s">
        <v>65</v>
      </c>
      <c r="E176" s="127" t="s">
        <v>783</v>
      </c>
      <c r="F176" s="127" t="s">
        <v>49</v>
      </c>
      <c r="G176" s="127" t="s">
        <v>50</v>
      </c>
      <c r="H176" s="127" t="s">
        <v>51</v>
      </c>
      <c r="I176" s="128">
        <v>39.364613023459768</v>
      </c>
      <c r="J176" s="128">
        <v>425.29537399999998</v>
      </c>
      <c r="K176" s="128">
        <v>70.754447999999996</v>
      </c>
      <c r="L176" s="128">
        <v>16.391459000000001</v>
      </c>
      <c r="M176" s="128">
        <v>4.811388</v>
      </c>
      <c r="N176" s="128">
        <v>36.270462999999999</v>
      </c>
      <c r="O176" s="128">
        <v>480.96797199999997</v>
      </c>
      <c r="P176" s="128">
        <v>7.1170000000000001E-3</v>
      </c>
      <c r="Q176" s="128">
        <v>7.1170000000000001E-3</v>
      </c>
      <c r="R176" s="128">
        <v>8.6654800000000005</v>
      </c>
      <c r="S176" s="128">
        <v>12.035587</v>
      </c>
      <c r="T176" s="128">
        <v>29.252669000000001</v>
      </c>
      <c r="U176" s="128">
        <v>467.29893199999998</v>
      </c>
      <c r="V176" s="128">
        <v>357.07117399999998</v>
      </c>
      <c r="W176" s="128">
        <v>361</v>
      </c>
      <c r="X176" s="127" t="s">
        <v>52</v>
      </c>
      <c r="Y176" s="129" t="s">
        <v>94</v>
      </c>
      <c r="Z176" s="127" t="s">
        <v>53</v>
      </c>
      <c r="AA176" s="127" t="s">
        <v>54</v>
      </c>
    </row>
    <row r="177" spans="1:27" ht="15.75" x14ac:dyDescent="0.25">
      <c r="A177" s="127" t="s">
        <v>784</v>
      </c>
      <c r="B177" s="127" t="s">
        <v>785</v>
      </c>
      <c r="C177" s="127" t="s">
        <v>786</v>
      </c>
      <c r="D177" s="127" t="s">
        <v>187</v>
      </c>
      <c r="E177" s="127" t="s">
        <v>787</v>
      </c>
      <c r="F177" s="127" t="s">
        <v>189</v>
      </c>
      <c r="G177" s="127" t="s">
        <v>79</v>
      </c>
      <c r="H177" s="127" t="s">
        <v>93</v>
      </c>
      <c r="I177" s="128">
        <v>3.140739149119038</v>
      </c>
      <c r="J177" s="128">
        <v>24.918149</v>
      </c>
      <c r="K177" s="128">
        <v>19.060497999999999</v>
      </c>
      <c r="L177" s="128">
        <v>3.8220640000000001</v>
      </c>
      <c r="M177" s="128">
        <v>2.9110320000000001</v>
      </c>
      <c r="N177" s="128">
        <v>7.5409249999999997</v>
      </c>
      <c r="O177" s="128">
        <v>39.437722999999998</v>
      </c>
      <c r="P177" s="128">
        <v>1.341637</v>
      </c>
      <c r="Q177" s="128">
        <v>2.3914589999999998</v>
      </c>
      <c r="R177" s="128">
        <v>4.2704630000000003</v>
      </c>
      <c r="S177" s="128">
        <v>3.3060499999999999</v>
      </c>
      <c r="T177" s="128">
        <v>4.9715299999999996</v>
      </c>
      <c r="U177" s="128">
        <v>38.163701000000003</v>
      </c>
      <c r="V177" s="128">
        <v>31.686833</v>
      </c>
      <c r="W177" s="127"/>
      <c r="X177" s="127" t="s">
        <v>173</v>
      </c>
      <c r="Y177" s="131">
        <v>45945</v>
      </c>
      <c r="Z177" s="127" t="s">
        <v>309</v>
      </c>
      <c r="AA177" s="127" t="s">
        <v>54</v>
      </c>
    </row>
    <row r="178" spans="1:27" ht="15.75" x14ac:dyDescent="0.25">
      <c r="A178" s="127" t="s">
        <v>788</v>
      </c>
      <c r="B178" s="127" t="s">
        <v>789</v>
      </c>
      <c r="C178" s="127" t="s">
        <v>790</v>
      </c>
      <c r="D178" s="127" t="s">
        <v>376</v>
      </c>
      <c r="E178" s="127" t="s">
        <v>791</v>
      </c>
      <c r="F178" s="127" t="s">
        <v>378</v>
      </c>
      <c r="G178" s="127" t="s">
        <v>79</v>
      </c>
      <c r="H178" s="127" t="s">
        <v>51</v>
      </c>
      <c r="I178" s="128">
        <v>3.2408630559225009</v>
      </c>
      <c r="J178" s="128">
        <v>17.665479999999999</v>
      </c>
      <c r="K178" s="128">
        <v>3.5693950000000001</v>
      </c>
      <c r="L178" s="128">
        <v>1.8861209999999999</v>
      </c>
      <c r="M178" s="128">
        <v>3.4306049999999999</v>
      </c>
      <c r="N178" s="128">
        <v>9.6939499999999992</v>
      </c>
      <c r="O178" s="128">
        <v>16.846975</v>
      </c>
      <c r="P178" s="128">
        <v>1.0676E-2</v>
      </c>
      <c r="Q178" s="128">
        <v>0</v>
      </c>
      <c r="R178" s="128">
        <v>3.629893</v>
      </c>
      <c r="S178" s="128">
        <v>3.4377219999999999</v>
      </c>
      <c r="T178" s="128">
        <v>4.7366549999999998</v>
      </c>
      <c r="U178" s="128">
        <v>14.747331000000001</v>
      </c>
      <c r="V178" s="128">
        <v>17.743772</v>
      </c>
      <c r="W178" s="127"/>
      <c r="X178" s="127" t="s">
        <v>52</v>
      </c>
      <c r="Y178" s="129">
        <v>46051</v>
      </c>
      <c r="Z178" s="127" t="s">
        <v>101</v>
      </c>
      <c r="AA178" s="127" t="s">
        <v>54</v>
      </c>
    </row>
    <row r="179" spans="1:27" ht="15.75" x14ac:dyDescent="0.25">
      <c r="A179" s="127" t="s">
        <v>792</v>
      </c>
      <c r="B179" s="127" t="s">
        <v>793</v>
      </c>
      <c r="C179" s="127" t="s">
        <v>794</v>
      </c>
      <c r="D179" s="127" t="s">
        <v>187</v>
      </c>
      <c r="E179" s="127" t="s">
        <v>795</v>
      </c>
      <c r="F179" s="127" t="s">
        <v>189</v>
      </c>
      <c r="G179" s="127" t="s">
        <v>79</v>
      </c>
      <c r="H179" s="127" t="s">
        <v>93</v>
      </c>
      <c r="I179" s="128">
        <v>1.544502617801047</v>
      </c>
      <c r="J179" s="128">
        <v>0.49822100000000002</v>
      </c>
      <c r="K179" s="128">
        <v>8.1850999999999993E-2</v>
      </c>
      <c r="L179" s="128">
        <v>0.28825600000000001</v>
      </c>
      <c r="M179" s="128">
        <v>0.18149499999999999</v>
      </c>
      <c r="N179" s="128">
        <v>0.30960900000000002</v>
      </c>
      <c r="O179" s="128">
        <v>0.62989300000000004</v>
      </c>
      <c r="P179" s="128">
        <v>5.3380999999999998E-2</v>
      </c>
      <c r="Q179" s="128">
        <v>5.6939999999999998E-2</v>
      </c>
      <c r="R179" s="128">
        <v>0.220641</v>
      </c>
      <c r="S179" s="128">
        <v>0.19217100000000001</v>
      </c>
      <c r="T179" s="128">
        <v>0.24555199999999999</v>
      </c>
      <c r="U179" s="128">
        <v>0.391459</v>
      </c>
      <c r="V179" s="128">
        <v>0.64412800000000003</v>
      </c>
      <c r="W179" s="127"/>
      <c r="X179" s="127" t="s">
        <v>173</v>
      </c>
      <c r="Y179" s="131">
        <v>45713</v>
      </c>
      <c r="Z179" s="127" t="s">
        <v>95</v>
      </c>
      <c r="AA179" s="127" t="s">
        <v>54</v>
      </c>
    </row>
    <row r="180" spans="1:27" ht="15.75" x14ac:dyDescent="0.25">
      <c r="A180" s="127" t="s">
        <v>796</v>
      </c>
      <c r="B180" s="127" t="s">
        <v>797</v>
      </c>
      <c r="C180" s="127" t="s">
        <v>798</v>
      </c>
      <c r="D180" s="127" t="s">
        <v>799</v>
      </c>
      <c r="E180" s="127" t="s">
        <v>800</v>
      </c>
      <c r="F180" s="127" t="s">
        <v>172</v>
      </c>
      <c r="G180" s="127" t="s">
        <v>79</v>
      </c>
      <c r="H180" s="127" t="s">
        <v>93</v>
      </c>
      <c r="I180" s="128">
        <v>53.347368421052629</v>
      </c>
      <c r="J180" s="128">
        <v>5.7615660000000002</v>
      </c>
      <c r="K180" s="128">
        <v>9.3238430000000001</v>
      </c>
      <c r="L180" s="128">
        <v>3.3879000000000001</v>
      </c>
      <c r="M180" s="128">
        <v>0.405694</v>
      </c>
      <c r="N180" s="128">
        <v>2.6441279999999998</v>
      </c>
      <c r="O180" s="128">
        <v>14.370107000000001</v>
      </c>
      <c r="P180" s="128">
        <v>0.38078299999999998</v>
      </c>
      <c r="Q180" s="128">
        <v>1.483986</v>
      </c>
      <c r="R180" s="128">
        <v>2.6725979999999998</v>
      </c>
      <c r="S180" s="128">
        <v>0.59074700000000002</v>
      </c>
      <c r="T180" s="128">
        <v>1.747331</v>
      </c>
      <c r="U180" s="128">
        <v>13.868327000000001</v>
      </c>
      <c r="V180" s="128">
        <v>12.487544</v>
      </c>
      <c r="W180" s="127"/>
      <c r="X180" s="127" t="s">
        <v>80</v>
      </c>
      <c r="Y180" s="129">
        <v>45359</v>
      </c>
      <c r="Z180" s="127" t="s">
        <v>81</v>
      </c>
      <c r="AA180" s="127" t="s">
        <v>54</v>
      </c>
    </row>
    <row r="181" spans="1:27" ht="15.75" x14ac:dyDescent="0.25">
      <c r="A181" s="127" t="s">
        <v>801</v>
      </c>
      <c r="B181" s="127" t="s">
        <v>802</v>
      </c>
      <c r="C181" s="127" t="s">
        <v>803</v>
      </c>
      <c r="D181" s="127" t="s">
        <v>160</v>
      </c>
      <c r="E181" s="127" t="s">
        <v>804</v>
      </c>
      <c r="F181" s="127" t="s">
        <v>162</v>
      </c>
      <c r="G181" s="127" t="s">
        <v>79</v>
      </c>
      <c r="H181" s="127" t="s">
        <v>93</v>
      </c>
      <c r="I181" s="128">
        <v>2.14</v>
      </c>
      <c r="J181" s="128">
        <v>1.348754</v>
      </c>
      <c r="K181" s="128">
        <v>0.57651200000000002</v>
      </c>
      <c r="L181" s="128">
        <v>0.185053</v>
      </c>
      <c r="M181" s="128">
        <v>0.17793600000000001</v>
      </c>
      <c r="N181" s="128">
        <v>0.42348799999999998</v>
      </c>
      <c r="O181" s="128">
        <v>1.6797150000000001</v>
      </c>
      <c r="P181" s="128">
        <v>2.8469999999999999E-2</v>
      </c>
      <c r="Q181" s="128">
        <v>0.156584</v>
      </c>
      <c r="R181" s="128">
        <v>0.31316699999999997</v>
      </c>
      <c r="S181" s="128">
        <v>0.21352299999999999</v>
      </c>
      <c r="T181" s="128">
        <v>0.30960900000000002</v>
      </c>
      <c r="U181" s="128">
        <v>1.4519580000000001</v>
      </c>
      <c r="V181" s="128">
        <v>1.3807830000000001</v>
      </c>
      <c r="W181" s="127"/>
      <c r="X181" s="127" t="s">
        <v>52</v>
      </c>
      <c r="Y181" s="129" t="s">
        <v>138</v>
      </c>
      <c r="Z181" s="127" t="s">
        <v>95</v>
      </c>
      <c r="AA181" s="127" t="s">
        <v>54</v>
      </c>
    </row>
    <row r="182" spans="1:27" ht="15.75" x14ac:dyDescent="0.25">
      <c r="A182" s="127" t="s">
        <v>805</v>
      </c>
      <c r="B182" s="127" t="s">
        <v>806</v>
      </c>
      <c r="C182" s="127" t="s">
        <v>807</v>
      </c>
      <c r="D182" s="127" t="s">
        <v>808</v>
      </c>
      <c r="E182" s="127" t="s">
        <v>809</v>
      </c>
      <c r="F182" s="127" t="s">
        <v>87</v>
      </c>
      <c r="G182" s="127" t="s">
        <v>67</v>
      </c>
      <c r="H182" s="127" t="s">
        <v>93</v>
      </c>
      <c r="I182" s="128">
        <v>3.137225170583775</v>
      </c>
      <c r="J182" s="128">
        <v>10.75089</v>
      </c>
      <c r="K182" s="128">
        <v>1.1779360000000001</v>
      </c>
      <c r="L182" s="128">
        <v>1.231317</v>
      </c>
      <c r="M182" s="128">
        <v>1.3950180000000001</v>
      </c>
      <c r="N182" s="128">
        <v>1.6975089999999999</v>
      </c>
      <c r="O182" s="128">
        <v>11.793594000000001</v>
      </c>
      <c r="P182" s="128">
        <v>3.2028000000000001E-2</v>
      </c>
      <c r="Q182" s="128">
        <v>1.0320279999999999</v>
      </c>
      <c r="R182" s="128">
        <v>2.1103200000000002</v>
      </c>
      <c r="S182" s="128">
        <v>0.67971499999999996</v>
      </c>
      <c r="T182" s="128">
        <v>0.419929</v>
      </c>
      <c r="U182" s="128">
        <v>11.345196</v>
      </c>
      <c r="V182" s="128">
        <v>8.6512460000000004</v>
      </c>
      <c r="W182" s="128">
        <v>100</v>
      </c>
      <c r="X182" s="127"/>
      <c r="Y182" s="130"/>
      <c r="Z182" s="127"/>
      <c r="AA182" s="127"/>
    </row>
    <row r="183" spans="1:27" ht="15.75" x14ac:dyDescent="0.25">
      <c r="A183" s="127" t="s">
        <v>810</v>
      </c>
      <c r="B183" s="127" t="s">
        <v>811</v>
      </c>
      <c r="C183" s="127" t="s">
        <v>812</v>
      </c>
      <c r="D183" s="127" t="s">
        <v>203</v>
      </c>
      <c r="E183" s="127" t="s">
        <v>813</v>
      </c>
      <c r="F183" s="127" t="s">
        <v>482</v>
      </c>
      <c r="G183" s="127" t="s">
        <v>72</v>
      </c>
      <c r="H183" s="127" t="s">
        <v>93</v>
      </c>
      <c r="I183" s="128">
        <v>27.673257698541331</v>
      </c>
      <c r="J183" s="128">
        <v>185.11032</v>
      </c>
      <c r="K183" s="128">
        <v>35.946618999999998</v>
      </c>
      <c r="L183" s="128">
        <v>16.786477000000001</v>
      </c>
      <c r="M183" s="128">
        <v>28.434163999999999</v>
      </c>
      <c r="N183" s="128">
        <v>45.551600999999998</v>
      </c>
      <c r="O183" s="128">
        <v>177.46263300000001</v>
      </c>
      <c r="P183" s="128">
        <v>0.56583600000000001</v>
      </c>
      <c r="Q183" s="128">
        <v>42.697508999999997</v>
      </c>
      <c r="R183" s="128">
        <v>26.886120999999999</v>
      </c>
      <c r="S183" s="128">
        <v>13.380782999999999</v>
      </c>
      <c r="T183" s="128">
        <v>21.462633</v>
      </c>
      <c r="U183" s="128">
        <v>204.54804200000001</v>
      </c>
      <c r="V183" s="128">
        <v>160.20640599999999</v>
      </c>
      <c r="W183" s="128">
        <v>100</v>
      </c>
      <c r="X183" s="127" t="s">
        <v>52</v>
      </c>
      <c r="Y183" s="129">
        <v>45407</v>
      </c>
      <c r="Z183" s="127" t="s">
        <v>95</v>
      </c>
      <c r="AA183" s="127" t="s">
        <v>54</v>
      </c>
    </row>
    <row r="184" spans="1:27" ht="15.75" x14ac:dyDescent="0.25">
      <c r="A184" s="127" t="s">
        <v>814</v>
      </c>
      <c r="B184" s="127" t="s">
        <v>815</v>
      </c>
      <c r="C184" s="127" t="s">
        <v>816</v>
      </c>
      <c r="D184" s="127" t="s">
        <v>198</v>
      </c>
      <c r="E184" s="127" t="s">
        <v>817</v>
      </c>
      <c r="F184" s="127" t="s">
        <v>150</v>
      </c>
      <c r="G184" s="127" t="s">
        <v>79</v>
      </c>
      <c r="H184" s="127" t="s">
        <v>93</v>
      </c>
      <c r="I184" s="128">
        <v>18.74832214765101</v>
      </c>
      <c r="J184" s="128">
        <v>5.622776</v>
      </c>
      <c r="K184" s="128">
        <v>2.1494659999999999</v>
      </c>
      <c r="L184" s="128">
        <v>4.3380780000000003</v>
      </c>
      <c r="M184" s="128">
        <v>8.1494660000000003</v>
      </c>
      <c r="N184" s="128">
        <v>11.241993000000001</v>
      </c>
      <c r="O184" s="128">
        <v>7.9145909999999997</v>
      </c>
      <c r="P184" s="128">
        <v>0.29181499999999999</v>
      </c>
      <c r="Q184" s="128">
        <v>0.811388</v>
      </c>
      <c r="R184" s="128">
        <v>6.7793590000000004</v>
      </c>
      <c r="S184" s="128">
        <v>3.5088970000000002</v>
      </c>
      <c r="T184" s="128">
        <v>4.0249110000000003</v>
      </c>
      <c r="U184" s="128">
        <v>5.9466190000000001</v>
      </c>
      <c r="V184" s="128">
        <v>16.181495000000002</v>
      </c>
      <c r="W184" s="127"/>
      <c r="X184" s="127"/>
      <c r="Y184" s="131">
        <v>46198</v>
      </c>
      <c r="Z184" s="127" t="s">
        <v>111</v>
      </c>
      <c r="AA184" s="127" t="s">
        <v>818</v>
      </c>
    </row>
    <row r="185" spans="1:27" ht="15.75" x14ac:dyDescent="0.25">
      <c r="A185" s="127" t="s">
        <v>819</v>
      </c>
      <c r="B185" s="127" t="s">
        <v>820</v>
      </c>
      <c r="C185" s="127" t="s">
        <v>821</v>
      </c>
      <c r="D185" s="127" t="s">
        <v>322</v>
      </c>
      <c r="E185" s="127" t="s">
        <v>822</v>
      </c>
      <c r="F185" s="127" t="s">
        <v>123</v>
      </c>
      <c r="G185" s="127" t="s">
        <v>79</v>
      </c>
      <c r="H185" s="127" t="s">
        <v>93</v>
      </c>
      <c r="I185" s="128">
        <v>17.746913580246911</v>
      </c>
      <c r="J185" s="128">
        <v>3.7686829999999998</v>
      </c>
      <c r="K185" s="128">
        <v>1.064057</v>
      </c>
      <c r="L185" s="128">
        <v>4.8042699999999998</v>
      </c>
      <c r="M185" s="128">
        <v>1.7153020000000001</v>
      </c>
      <c r="N185" s="128">
        <v>4.5444839999999997</v>
      </c>
      <c r="O185" s="128">
        <v>6.7935939999999997</v>
      </c>
      <c r="P185" s="128">
        <v>0</v>
      </c>
      <c r="Q185" s="128">
        <v>1.4234999999999999E-2</v>
      </c>
      <c r="R185" s="128">
        <v>1.2882560000000001</v>
      </c>
      <c r="S185" s="128">
        <v>1.6121000000000001</v>
      </c>
      <c r="T185" s="128">
        <v>2.5551599999999999</v>
      </c>
      <c r="U185" s="128">
        <v>5.8967970000000003</v>
      </c>
      <c r="V185" s="128">
        <v>8.558719</v>
      </c>
      <c r="W185" s="127"/>
      <c r="X185" s="127" t="s">
        <v>110</v>
      </c>
      <c r="Y185" s="129">
        <v>46149</v>
      </c>
      <c r="Z185" s="127" t="s">
        <v>111</v>
      </c>
      <c r="AA185" s="127" t="s">
        <v>54</v>
      </c>
    </row>
    <row r="186" spans="1:27" ht="15.75" x14ac:dyDescent="0.25">
      <c r="A186" s="127" t="s">
        <v>823</v>
      </c>
      <c r="B186" s="127" t="s">
        <v>824</v>
      </c>
      <c r="C186" s="127" t="s">
        <v>825</v>
      </c>
      <c r="D186" s="127" t="s">
        <v>453</v>
      </c>
      <c r="E186" s="127" t="s">
        <v>826</v>
      </c>
      <c r="F186" s="127" t="s">
        <v>123</v>
      </c>
      <c r="G186" s="127" t="s">
        <v>79</v>
      </c>
      <c r="H186" s="127" t="s">
        <v>93</v>
      </c>
      <c r="I186" s="128">
        <v>1.907407407407407</v>
      </c>
      <c r="J186" s="128">
        <v>8.1850999999999993E-2</v>
      </c>
      <c r="K186" s="128">
        <v>0.174377</v>
      </c>
      <c r="L186" s="128">
        <v>0.30960900000000002</v>
      </c>
      <c r="M186" s="128">
        <v>0.92170799999999997</v>
      </c>
      <c r="N186" s="128">
        <v>1.2846979999999999</v>
      </c>
      <c r="O186" s="128">
        <v>0.19572999999999999</v>
      </c>
      <c r="P186" s="128">
        <v>0</v>
      </c>
      <c r="Q186" s="128">
        <v>7.1170000000000001E-3</v>
      </c>
      <c r="R186" s="128">
        <v>1.252669</v>
      </c>
      <c r="S186" s="128">
        <v>0.12811400000000001</v>
      </c>
      <c r="T186" s="128">
        <v>2.4910999999999999E-2</v>
      </c>
      <c r="U186" s="128">
        <v>8.1850999999999993E-2</v>
      </c>
      <c r="V186" s="128">
        <v>1.3060499999999999</v>
      </c>
      <c r="W186" s="127"/>
      <c r="X186" s="127"/>
      <c r="Y186" s="130" t="s">
        <v>94</v>
      </c>
      <c r="Z186" s="127"/>
      <c r="AA186" s="127"/>
    </row>
    <row r="187" spans="1:27" ht="15.75" x14ac:dyDescent="0.25">
      <c r="A187" s="127" t="s">
        <v>827</v>
      </c>
      <c r="B187" s="127" t="s">
        <v>828</v>
      </c>
      <c r="C187" s="127" t="s">
        <v>829</v>
      </c>
      <c r="D187" s="127" t="s">
        <v>622</v>
      </c>
      <c r="E187" s="127" t="s">
        <v>830</v>
      </c>
      <c r="F187" s="127" t="s">
        <v>49</v>
      </c>
      <c r="G187" s="127" t="s">
        <v>79</v>
      </c>
      <c r="H187" s="127" t="s">
        <v>93</v>
      </c>
      <c r="I187" s="128">
        <v>1.5928143712574849</v>
      </c>
      <c r="J187" s="128">
        <v>1.1138790000000001</v>
      </c>
      <c r="K187" s="128">
        <v>0.19572999999999999</v>
      </c>
      <c r="L187" s="128">
        <v>0.217082</v>
      </c>
      <c r="M187" s="128">
        <v>0.37366500000000002</v>
      </c>
      <c r="N187" s="128">
        <v>0.48754399999999998</v>
      </c>
      <c r="O187" s="128">
        <v>1.295374</v>
      </c>
      <c r="P187" s="128">
        <v>1.4234999999999999E-2</v>
      </c>
      <c r="Q187" s="128">
        <v>0.103203</v>
      </c>
      <c r="R187" s="128">
        <v>0.29537400000000003</v>
      </c>
      <c r="S187" s="128">
        <v>0.217082</v>
      </c>
      <c r="T187" s="128">
        <v>0.31672600000000001</v>
      </c>
      <c r="U187" s="128">
        <v>1.0711740000000001</v>
      </c>
      <c r="V187" s="128">
        <v>1.313167</v>
      </c>
      <c r="W187" s="127"/>
      <c r="X187" s="127" t="s">
        <v>110</v>
      </c>
      <c r="Y187" s="129" t="s">
        <v>138</v>
      </c>
      <c r="Z187" s="127" t="s">
        <v>95</v>
      </c>
      <c r="AA187" s="127" t="s">
        <v>54</v>
      </c>
    </row>
    <row r="188" spans="1:27" ht="15.75" x14ac:dyDescent="0.25">
      <c r="A188" s="127" t="s">
        <v>831</v>
      </c>
      <c r="B188" s="127" t="s">
        <v>832</v>
      </c>
      <c r="C188" s="127" t="s">
        <v>833</v>
      </c>
      <c r="D188" s="127" t="s">
        <v>154</v>
      </c>
      <c r="E188" s="127" t="s">
        <v>834</v>
      </c>
      <c r="F188" s="127" t="s">
        <v>156</v>
      </c>
      <c r="G188" s="127" t="s">
        <v>72</v>
      </c>
      <c r="H188" s="127" t="s">
        <v>93</v>
      </c>
      <c r="I188" s="128">
        <v>44.666666666666657</v>
      </c>
      <c r="J188" s="128">
        <v>38.960853999999998</v>
      </c>
      <c r="K188" s="128">
        <v>8.6370109999999993</v>
      </c>
      <c r="L188" s="128">
        <v>5.2669040000000003</v>
      </c>
      <c r="M188" s="128">
        <v>5.7508900000000001</v>
      </c>
      <c r="N188" s="128">
        <v>10.256228</v>
      </c>
      <c r="O188" s="128">
        <v>43.227758000000001</v>
      </c>
      <c r="P188" s="128">
        <v>0.34163700000000002</v>
      </c>
      <c r="Q188" s="128">
        <v>4.7900359999999997</v>
      </c>
      <c r="R188" s="128">
        <v>2.846975</v>
      </c>
      <c r="S188" s="128">
        <v>3.188612</v>
      </c>
      <c r="T188" s="128">
        <v>8.309609</v>
      </c>
      <c r="U188" s="128">
        <v>44.270462999999999</v>
      </c>
      <c r="V188" s="128">
        <v>36.366548000000002</v>
      </c>
      <c r="W188" s="127"/>
      <c r="X188" s="127" t="s">
        <v>52</v>
      </c>
      <c r="Y188" s="129">
        <v>45596</v>
      </c>
      <c r="Z188" s="127" t="s">
        <v>95</v>
      </c>
      <c r="AA188" s="127" t="s">
        <v>54</v>
      </c>
    </row>
    <row r="189" spans="1:27" ht="15.75" x14ac:dyDescent="0.25">
      <c r="A189" s="127" t="s">
        <v>835</v>
      </c>
      <c r="B189" s="127" t="s">
        <v>836</v>
      </c>
      <c r="C189" s="127" t="s">
        <v>837</v>
      </c>
      <c r="D189" s="127" t="s">
        <v>272</v>
      </c>
      <c r="E189" s="127" t="s">
        <v>838</v>
      </c>
      <c r="F189" s="127" t="s">
        <v>150</v>
      </c>
      <c r="G189" s="127" t="s">
        <v>79</v>
      </c>
      <c r="H189" s="127" t="s">
        <v>51</v>
      </c>
      <c r="I189" s="128">
        <v>21.994276369582991</v>
      </c>
      <c r="J189" s="128">
        <v>42.914591000000001</v>
      </c>
      <c r="K189" s="128">
        <v>25.092527</v>
      </c>
      <c r="L189" s="128">
        <v>21.220641000000001</v>
      </c>
      <c r="M189" s="128">
        <v>18.298932000000001</v>
      </c>
      <c r="N189" s="128">
        <v>34.366548000000002</v>
      </c>
      <c r="O189" s="128">
        <v>67.056939</v>
      </c>
      <c r="P189" s="128">
        <v>2.5195729999999998</v>
      </c>
      <c r="Q189" s="128">
        <v>3.5836299999999999</v>
      </c>
      <c r="R189" s="128">
        <v>26.775801000000001</v>
      </c>
      <c r="S189" s="128">
        <v>8.0249109999999995</v>
      </c>
      <c r="T189" s="128">
        <v>13.288256000000001</v>
      </c>
      <c r="U189" s="128">
        <v>59.437722999999998</v>
      </c>
      <c r="V189" s="128">
        <v>64.519572999999994</v>
      </c>
      <c r="W189" s="127"/>
      <c r="X189" s="127" t="s">
        <v>52</v>
      </c>
      <c r="Y189" s="129">
        <v>46199</v>
      </c>
      <c r="Z189" s="127" t="s">
        <v>111</v>
      </c>
      <c r="AA189" s="127" t="s">
        <v>818</v>
      </c>
    </row>
    <row r="190" spans="1:27" ht="15.75" x14ac:dyDescent="0.25">
      <c r="A190" s="127" t="s">
        <v>839</v>
      </c>
      <c r="B190" s="127" t="s">
        <v>840</v>
      </c>
      <c r="C190" s="127" t="s">
        <v>841</v>
      </c>
      <c r="D190" s="127" t="s">
        <v>453</v>
      </c>
      <c r="E190" s="127" t="s">
        <v>842</v>
      </c>
      <c r="F190" s="127" t="s">
        <v>150</v>
      </c>
      <c r="G190" s="127" t="s">
        <v>79</v>
      </c>
      <c r="H190" s="127" t="s">
        <v>93</v>
      </c>
      <c r="I190" s="128">
        <v>36.519230769230766</v>
      </c>
      <c r="J190" s="128">
        <v>5.5444839999999997</v>
      </c>
      <c r="K190" s="128">
        <v>0.825623</v>
      </c>
      <c r="L190" s="128">
        <v>2.0676160000000001</v>
      </c>
      <c r="M190" s="128">
        <v>2.2953739999999998</v>
      </c>
      <c r="N190" s="128">
        <v>4.7508900000000001</v>
      </c>
      <c r="O190" s="128">
        <v>5.8291810000000002</v>
      </c>
      <c r="P190" s="128">
        <v>0.15302499999999999</v>
      </c>
      <c r="Q190" s="128">
        <v>0</v>
      </c>
      <c r="R190" s="128">
        <v>2.1387900000000002</v>
      </c>
      <c r="S190" s="128">
        <v>1.8825620000000001</v>
      </c>
      <c r="T190" s="128">
        <v>1.4519569999999999</v>
      </c>
      <c r="U190" s="128">
        <v>5.2597860000000001</v>
      </c>
      <c r="V190" s="128">
        <v>9.1387900000000002</v>
      </c>
      <c r="W190" s="127"/>
      <c r="X190" s="127"/>
      <c r="Y190" s="130" t="s">
        <v>138</v>
      </c>
      <c r="Z190" s="127"/>
      <c r="AA190" s="127"/>
    </row>
    <row r="191" spans="1:27" ht="15.75" x14ac:dyDescent="0.25">
      <c r="A191" s="127" t="s">
        <v>843</v>
      </c>
      <c r="B191" s="127" t="s">
        <v>844</v>
      </c>
      <c r="C191" s="127" t="s">
        <v>845</v>
      </c>
      <c r="D191" s="127" t="s">
        <v>65</v>
      </c>
      <c r="E191" s="127" t="s">
        <v>846</v>
      </c>
      <c r="F191" s="127" t="s">
        <v>49</v>
      </c>
      <c r="G191" s="127" t="s">
        <v>50</v>
      </c>
      <c r="H191" s="127" t="s">
        <v>93</v>
      </c>
      <c r="I191" s="128">
        <v>40.155258073419823</v>
      </c>
      <c r="J191" s="128">
        <v>594.53380800000002</v>
      </c>
      <c r="K191" s="128">
        <v>107.163701</v>
      </c>
      <c r="L191" s="128">
        <v>153.76868300000001</v>
      </c>
      <c r="M191" s="128">
        <v>68.213522999999995</v>
      </c>
      <c r="N191" s="128">
        <v>4.2703999999999999E-2</v>
      </c>
      <c r="O191" s="128">
        <v>0.71886099999999997</v>
      </c>
      <c r="P191" s="128">
        <v>134.003559</v>
      </c>
      <c r="Q191" s="128">
        <v>788.91459099999997</v>
      </c>
      <c r="R191" s="128">
        <v>88.729536999999993</v>
      </c>
      <c r="S191" s="128">
        <v>38.72242</v>
      </c>
      <c r="T191" s="128">
        <v>47.028469999999999</v>
      </c>
      <c r="U191" s="128">
        <v>749.19928800000002</v>
      </c>
      <c r="V191" s="128">
        <v>615.17437700000005</v>
      </c>
      <c r="W191" s="128">
        <v>700</v>
      </c>
      <c r="X191" s="127" t="s">
        <v>52</v>
      </c>
      <c r="Y191" s="129">
        <v>46100</v>
      </c>
      <c r="Z191" s="127" t="s">
        <v>53</v>
      </c>
      <c r="AA191" s="127" t="s">
        <v>54</v>
      </c>
    </row>
    <row r="192" spans="1:27" ht="15.75" x14ac:dyDescent="0.25">
      <c r="A192" s="127" t="s">
        <v>847</v>
      </c>
      <c r="B192" s="127" t="s">
        <v>848</v>
      </c>
      <c r="C192" s="127" t="s">
        <v>849</v>
      </c>
      <c r="D192" s="127" t="s">
        <v>115</v>
      </c>
      <c r="E192" s="127" t="s">
        <v>850</v>
      </c>
      <c r="F192" s="127" t="s">
        <v>314</v>
      </c>
      <c r="G192" s="127" t="s">
        <v>61</v>
      </c>
      <c r="H192" s="127" t="s">
        <v>93</v>
      </c>
      <c r="I192" s="128">
        <v>43.39485393693171</v>
      </c>
      <c r="J192" s="128">
        <v>979.83985800000005</v>
      </c>
      <c r="K192" s="128">
        <v>289.44839899999999</v>
      </c>
      <c r="L192" s="128">
        <v>268.45907499999998</v>
      </c>
      <c r="M192" s="128">
        <v>165.65124599999999</v>
      </c>
      <c r="N192" s="128">
        <v>414.49110300000001</v>
      </c>
      <c r="O192" s="128">
        <v>1143.9857649999999</v>
      </c>
      <c r="P192" s="128">
        <v>42.217081999999998</v>
      </c>
      <c r="Q192" s="128">
        <v>102.704626</v>
      </c>
      <c r="R192" s="128">
        <v>150.07473300000001</v>
      </c>
      <c r="S192" s="128">
        <v>114.455516</v>
      </c>
      <c r="T192" s="128">
        <v>337.57295399999998</v>
      </c>
      <c r="U192" s="128">
        <v>1101.2953729999999</v>
      </c>
      <c r="V192" s="128">
        <v>995.61921700000005</v>
      </c>
      <c r="W192" s="128">
        <v>1350</v>
      </c>
      <c r="X192" s="127" t="s">
        <v>52</v>
      </c>
      <c r="Y192" s="129">
        <v>46065</v>
      </c>
      <c r="Z192" s="127" t="s">
        <v>53</v>
      </c>
      <c r="AA192" s="127" t="s">
        <v>54</v>
      </c>
    </row>
    <row r="193" spans="1:27" ht="15.75" x14ac:dyDescent="0.25">
      <c r="A193" s="127" t="s">
        <v>851</v>
      </c>
      <c r="B193" s="127" t="s">
        <v>852</v>
      </c>
      <c r="C193" s="127" t="s">
        <v>853</v>
      </c>
      <c r="D193" s="127" t="s">
        <v>166</v>
      </c>
      <c r="E193" s="127" t="s">
        <v>854</v>
      </c>
      <c r="F193" s="127" t="s">
        <v>156</v>
      </c>
      <c r="G193" s="127" t="s">
        <v>72</v>
      </c>
      <c r="H193" s="127" t="s">
        <v>51</v>
      </c>
      <c r="I193" s="128">
        <v>41.125</v>
      </c>
      <c r="J193" s="128">
        <v>36.245552000000004</v>
      </c>
      <c r="K193" s="128">
        <v>5.6832739999999999</v>
      </c>
      <c r="L193" s="128">
        <v>1.978648</v>
      </c>
      <c r="M193" s="128">
        <v>3.7117439999999999</v>
      </c>
      <c r="N193" s="128">
        <v>6.9217079999999997</v>
      </c>
      <c r="O193" s="128">
        <v>40.697508999999997</v>
      </c>
      <c r="P193" s="128">
        <v>0</v>
      </c>
      <c r="Q193" s="128">
        <v>0</v>
      </c>
      <c r="R193" s="128">
        <v>3.5978650000000001</v>
      </c>
      <c r="S193" s="128">
        <v>2.6725979999999998</v>
      </c>
      <c r="T193" s="128">
        <v>4.0676160000000001</v>
      </c>
      <c r="U193" s="128">
        <v>37.281139000000003</v>
      </c>
      <c r="V193" s="128">
        <v>29.092527</v>
      </c>
      <c r="W193" s="127"/>
      <c r="X193" s="127" t="s">
        <v>52</v>
      </c>
      <c r="Y193" s="129">
        <v>46121</v>
      </c>
      <c r="Z193" s="127" t="s">
        <v>309</v>
      </c>
      <c r="AA193" s="127" t="s">
        <v>54</v>
      </c>
    </row>
    <row r="194" spans="1:27" ht="15.75" x14ac:dyDescent="0.25">
      <c r="A194" s="127" t="s">
        <v>855</v>
      </c>
      <c r="B194" s="127" t="s">
        <v>856</v>
      </c>
      <c r="C194" s="127" t="s">
        <v>857</v>
      </c>
      <c r="D194" s="127" t="s">
        <v>85</v>
      </c>
      <c r="E194" s="127" t="s">
        <v>858</v>
      </c>
      <c r="F194" s="127" t="s">
        <v>87</v>
      </c>
      <c r="G194" s="127" t="s">
        <v>72</v>
      </c>
      <c r="H194" s="127"/>
      <c r="I194" s="128">
        <v>1.883408071748879</v>
      </c>
      <c r="J194" s="128">
        <v>1.594306</v>
      </c>
      <c r="K194" s="128">
        <v>7.8292E-2</v>
      </c>
      <c r="L194" s="128">
        <v>0.44128099999999998</v>
      </c>
      <c r="M194" s="128">
        <v>0.608541</v>
      </c>
      <c r="N194" s="128">
        <v>1.021352</v>
      </c>
      <c r="O194" s="128">
        <v>1.5836300000000001</v>
      </c>
      <c r="P194" s="128">
        <v>1.4234999999999999E-2</v>
      </c>
      <c r="Q194" s="128">
        <v>0.103203</v>
      </c>
      <c r="R194" s="128">
        <v>0.66547999999999996</v>
      </c>
      <c r="S194" s="128">
        <v>9.6085000000000004E-2</v>
      </c>
      <c r="T194" s="128">
        <v>0.84341600000000005</v>
      </c>
      <c r="U194" s="128">
        <v>1.1174379999999999</v>
      </c>
      <c r="V194" s="128">
        <v>1.266904</v>
      </c>
      <c r="W194" s="127"/>
      <c r="X194" s="127"/>
      <c r="Y194" s="130"/>
      <c r="Z194" s="127"/>
      <c r="AA194" s="127"/>
    </row>
    <row r="195" spans="1:27" ht="15.75" x14ac:dyDescent="0.25">
      <c r="A195" s="127" t="s">
        <v>859</v>
      </c>
      <c r="B195" s="127" t="s">
        <v>860</v>
      </c>
      <c r="C195" s="127" t="s">
        <v>861</v>
      </c>
      <c r="D195" s="127" t="s">
        <v>440</v>
      </c>
      <c r="E195" s="127" t="s">
        <v>862</v>
      </c>
      <c r="F195" s="127" t="s">
        <v>123</v>
      </c>
      <c r="G195" s="127" t="s">
        <v>79</v>
      </c>
      <c r="H195" s="127" t="s">
        <v>93</v>
      </c>
      <c r="I195" s="128">
        <v>21.43177570093458</v>
      </c>
      <c r="J195" s="128">
        <v>88.843416000000005</v>
      </c>
      <c r="K195" s="128">
        <v>12.412811</v>
      </c>
      <c r="L195" s="128">
        <v>18.306049999999999</v>
      </c>
      <c r="M195" s="128">
        <v>12.939501999999999</v>
      </c>
      <c r="N195" s="128">
        <v>18.398575999999998</v>
      </c>
      <c r="O195" s="128">
        <v>97.715303000000006</v>
      </c>
      <c r="P195" s="128">
        <v>0.63701099999999999</v>
      </c>
      <c r="Q195" s="128">
        <v>15.75089</v>
      </c>
      <c r="R195" s="128">
        <v>9.7437719999999999</v>
      </c>
      <c r="S195" s="128">
        <v>7.3202850000000002</v>
      </c>
      <c r="T195" s="128">
        <v>18.341636999999999</v>
      </c>
      <c r="U195" s="128">
        <v>97.096085000000002</v>
      </c>
      <c r="V195" s="128">
        <v>79.245552000000004</v>
      </c>
      <c r="W195" s="127"/>
      <c r="X195" s="127" t="s">
        <v>110</v>
      </c>
      <c r="Y195" s="129">
        <v>46212</v>
      </c>
      <c r="Z195" s="127" t="s">
        <v>111</v>
      </c>
      <c r="AA195" s="127" t="s">
        <v>54</v>
      </c>
    </row>
    <row r="196" spans="1:27" ht="15.75" x14ac:dyDescent="0.25">
      <c r="A196" s="127" t="s">
        <v>863</v>
      </c>
      <c r="B196" s="127" t="s">
        <v>864</v>
      </c>
      <c r="C196" s="127" t="s">
        <v>865</v>
      </c>
      <c r="D196" s="127" t="s">
        <v>376</v>
      </c>
      <c r="E196" s="127" t="s">
        <v>866</v>
      </c>
      <c r="F196" s="127" t="s">
        <v>378</v>
      </c>
      <c r="G196" s="127" t="s">
        <v>50</v>
      </c>
      <c r="H196" s="127" t="s">
        <v>93</v>
      </c>
      <c r="I196" s="128">
        <v>46.581136363636361</v>
      </c>
      <c r="J196" s="128">
        <v>1102.9857649999999</v>
      </c>
      <c r="K196" s="128">
        <v>352.32028500000001</v>
      </c>
      <c r="L196" s="128">
        <v>265.04626300000001</v>
      </c>
      <c r="M196" s="128">
        <v>289.28825599999999</v>
      </c>
      <c r="N196" s="128">
        <v>504.80426999999997</v>
      </c>
      <c r="O196" s="128">
        <v>1174.039145</v>
      </c>
      <c r="P196" s="128">
        <v>54.943060000000003</v>
      </c>
      <c r="Q196" s="128">
        <v>275.85409299999998</v>
      </c>
      <c r="R196" s="128">
        <v>298.46975099999997</v>
      </c>
      <c r="S196" s="128">
        <v>182.946619</v>
      </c>
      <c r="T196" s="128">
        <v>242.56227799999999</v>
      </c>
      <c r="U196" s="128">
        <v>1285.6619209999999</v>
      </c>
      <c r="V196" s="128">
        <v>1302.661922</v>
      </c>
      <c r="W196" s="128">
        <v>1600</v>
      </c>
      <c r="X196" s="127" t="s">
        <v>52</v>
      </c>
      <c r="Y196" s="129" t="s">
        <v>94</v>
      </c>
      <c r="Z196" s="127" t="s">
        <v>53</v>
      </c>
      <c r="AA196" s="127" t="s">
        <v>54</v>
      </c>
    </row>
    <row r="197" spans="1:27" ht="15.75" x14ac:dyDescent="0.25">
      <c r="A197" s="127" t="s">
        <v>867</v>
      </c>
      <c r="B197" s="127" t="s">
        <v>868</v>
      </c>
      <c r="C197" s="127" t="s">
        <v>869</v>
      </c>
      <c r="D197" s="127" t="s">
        <v>106</v>
      </c>
      <c r="E197" s="127" t="s">
        <v>870</v>
      </c>
      <c r="F197" s="127" t="s">
        <v>108</v>
      </c>
      <c r="G197" s="127" t="s">
        <v>72</v>
      </c>
      <c r="H197" s="127" t="s">
        <v>93</v>
      </c>
      <c r="I197" s="128">
        <v>38.684368737474948</v>
      </c>
      <c r="J197" s="128">
        <v>44.195729999999998</v>
      </c>
      <c r="K197" s="128">
        <v>4.2633450000000002</v>
      </c>
      <c r="L197" s="128">
        <v>48.768683000000003</v>
      </c>
      <c r="M197" s="128">
        <v>43.096085000000002</v>
      </c>
      <c r="N197" s="128">
        <v>35.160142</v>
      </c>
      <c r="O197" s="128">
        <v>87.693950000000001</v>
      </c>
      <c r="P197" s="128">
        <v>1.747331</v>
      </c>
      <c r="Q197" s="128">
        <v>15.72242</v>
      </c>
      <c r="R197" s="128">
        <v>25.548043</v>
      </c>
      <c r="S197" s="128">
        <v>10.597865000000001</v>
      </c>
      <c r="T197" s="128">
        <v>11.572953999999999</v>
      </c>
      <c r="U197" s="128">
        <v>92.604982000000007</v>
      </c>
      <c r="V197" s="128">
        <v>71.455516000000003</v>
      </c>
      <c r="W197" s="127"/>
      <c r="X197" s="127" t="s">
        <v>52</v>
      </c>
      <c r="Y197" s="129">
        <v>45743</v>
      </c>
      <c r="Z197" s="127" t="s">
        <v>95</v>
      </c>
      <c r="AA197" s="127" t="s">
        <v>54</v>
      </c>
    </row>
    <row r="198" spans="1:27" ht="15.75" x14ac:dyDescent="0.25">
      <c r="A198" s="127" t="s">
        <v>871</v>
      </c>
      <c r="B198" s="127" t="s">
        <v>872</v>
      </c>
      <c r="C198" s="127" t="s">
        <v>873</v>
      </c>
      <c r="D198" s="127" t="s">
        <v>540</v>
      </c>
      <c r="E198" s="127" t="s">
        <v>874</v>
      </c>
      <c r="F198" s="127" t="s">
        <v>297</v>
      </c>
      <c r="G198" s="127" t="s">
        <v>79</v>
      </c>
      <c r="H198" s="127" t="s">
        <v>93</v>
      </c>
      <c r="I198" s="128">
        <v>8.6635220125786159</v>
      </c>
      <c r="J198" s="128">
        <v>4.4519570000000002</v>
      </c>
      <c r="K198" s="128">
        <v>2.124555</v>
      </c>
      <c r="L198" s="128">
        <v>1.704626</v>
      </c>
      <c r="M198" s="128">
        <v>1.4911030000000001</v>
      </c>
      <c r="N198" s="128">
        <v>3.5088970000000002</v>
      </c>
      <c r="O198" s="128">
        <v>5.9750889999999997</v>
      </c>
      <c r="P198" s="128">
        <v>1.4234999999999999E-2</v>
      </c>
      <c r="Q198" s="128">
        <v>0.27402100000000001</v>
      </c>
      <c r="R198" s="128">
        <v>3</v>
      </c>
      <c r="S198" s="128">
        <v>0.38790000000000002</v>
      </c>
      <c r="T198" s="128">
        <v>1.153025</v>
      </c>
      <c r="U198" s="128">
        <v>5.2313169999999998</v>
      </c>
      <c r="V198" s="128">
        <v>6.4128109999999996</v>
      </c>
      <c r="W198" s="127"/>
      <c r="X198" s="127" t="s">
        <v>110</v>
      </c>
      <c r="Y198" s="129">
        <v>45785</v>
      </c>
      <c r="Z198" s="127" t="s">
        <v>95</v>
      </c>
      <c r="AA198" s="127" t="s">
        <v>54</v>
      </c>
    </row>
    <row r="199" spans="1:27" ht="15.75" x14ac:dyDescent="0.25">
      <c r="A199" s="127" t="s">
        <v>875</v>
      </c>
      <c r="B199" s="127" t="s">
        <v>876</v>
      </c>
      <c r="C199" s="127" t="s">
        <v>877</v>
      </c>
      <c r="D199" s="127" t="s">
        <v>115</v>
      </c>
      <c r="E199" s="127" t="s">
        <v>878</v>
      </c>
      <c r="F199" s="127" t="s">
        <v>314</v>
      </c>
      <c r="G199" s="127" t="s">
        <v>61</v>
      </c>
      <c r="H199" s="127" t="s">
        <v>51</v>
      </c>
      <c r="I199" s="128">
        <v>33.238928376161837</v>
      </c>
      <c r="J199" s="128">
        <v>278.88968</v>
      </c>
      <c r="K199" s="128">
        <v>40.395018</v>
      </c>
      <c r="L199" s="128">
        <v>68.056939999999997</v>
      </c>
      <c r="M199" s="128">
        <v>55.839858</v>
      </c>
      <c r="N199" s="128">
        <v>94.039146000000002</v>
      </c>
      <c r="O199" s="128">
        <v>349.14234900000002</v>
      </c>
      <c r="P199" s="128">
        <v>0</v>
      </c>
      <c r="Q199" s="128">
        <v>0</v>
      </c>
      <c r="R199" s="128">
        <v>47.185053000000003</v>
      </c>
      <c r="S199" s="128">
        <v>43.676157000000003</v>
      </c>
      <c r="T199" s="128">
        <v>65.398577000000003</v>
      </c>
      <c r="U199" s="128">
        <v>286.92170900000002</v>
      </c>
      <c r="V199" s="128">
        <v>248.34163699999999</v>
      </c>
      <c r="W199" s="128">
        <v>461</v>
      </c>
      <c r="X199" s="127" t="s">
        <v>52</v>
      </c>
      <c r="Y199" s="129">
        <v>46212</v>
      </c>
      <c r="Z199" s="127" t="s">
        <v>53</v>
      </c>
      <c r="AA199" s="127" t="s">
        <v>818</v>
      </c>
    </row>
    <row r="200" spans="1:27" ht="15.75" x14ac:dyDescent="0.25">
      <c r="A200" s="127" t="s">
        <v>879</v>
      </c>
      <c r="B200" s="127" t="s">
        <v>880</v>
      </c>
      <c r="C200" s="127" t="s">
        <v>881</v>
      </c>
      <c r="D200" s="127" t="s">
        <v>160</v>
      </c>
      <c r="E200" s="127" t="s">
        <v>882</v>
      </c>
      <c r="F200" s="127" t="s">
        <v>162</v>
      </c>
      <c r="G200" s="127" t="s">
        <v>79</v>
      </c>
      <c r="H200" s="127" t="s">
        <v>93</v>
      </c>
      <c r="I200" s="128">
        <v>3.3974358974358969</v>
      </c>
      <c r="J200" s="128">
        <v>3.3558720000000002</v>
      </c>
      <c r="K200" s="128">
        <v>4.5444839999999997</v>
      </c>
      <c r="L200" s="128">
        <v>0.74021400000000004</v>
      </c>
      <c r="M200" s="128">
        <v>0.75444800000000001</v>
      </c>
      <c r="N200" s="128">
        <v>1.7580070000000001</v>
      </c>
      <c r="O200" s="128">
        <v>6.7117440000000004</v>
      </c>
      <c r="P200" s="128">
        <v>3.5587000000000001E-2</v>
      </c>
      <c r="Q200" s="128">
        <v>0.88968000000000003</v>
      </c>
      <c r="R200" s="128">
        <v>1.281139</v>
      </c>
      <c r="S200" s="128">
        <v>1.5338080000000001</v>
      </c>
      <c r="T200" s="128">
        <v>2.5160140000000002</v>
      </c>
      <c r="U200" s="128">
        <v>4.064057</v>
      </c>
      <c r="V200" s="128">
        <v>4.4946619999999999</v>
      </c>
      <c r="W200" s="127"/>
      <c r="X200" s="127"/>
      <c r="Y200" s="131" t="s">
        <v>94</v>
      </c>
      <c r="Z200" s="127"/>
      <c r="AA200" s="127"/>
    </row>
    <row r="201" spans="1:27" ht="15.75" x14ac:dyDescent="0.25">
      <c r="A201" s="127" t="s">
        <v>883</v>
      </c>
      <c r="B201" s="127" t="s">
        <v>884</v>
      </c>
      <c r="C201" s="127" t="s">
        <v>885</v>
      </c>
      <c r="D201" s="127" t="s">
        <v>235</v>
      </c>
      <c r="E201" s="127" t="s">
        <v>886</v>
      </c>
      <c r="F201" s="127" t="s">
        <v>237</v>
      </c>
      <c r="G201" s="127" t="s">
        <v>72</v>
      </c>
      <c r="H201" s="127" t="s">
        <v>51</v>
      </c>
      <c r="I201" s="128">
        <v>84.538842975206606</v>
      </c>
      <c r="J201" s="128">
        <v>285.37366500000002</v>
      </c>
      <c r="K201" s="128">
        <v>56.202846999999998</v>
      </c>
      <c r="L201" s="128">
        <v>4.565836</v>
      </c>
      <c r="M201" s="128">
        <v>4.4270459999999998</v>
      </c>
      <c r="N201" s="128">
        <v>37.608541000000002</v>
      </c>
      <c r="O201" s="128">
        <v>312.96085399999998</v>
      </c>
      <c r="P201" s="128">
        <v>0</v>
      </c>
      <c r="Q201" s="128">
        <v>0</v>
      </c>
      <c r="R201" s="128">
        <v>11.572953999999999</v>
      </c>
      <c r="S201" s="128">
        <v>7.7117440000000004</v>
      </c>
      <c r="T201" s="128">
        <v>31.989324</v>
      </c>
      <c r="U201" s="128">
        <v>299.29537399999998</v>
      </c>
      <c r="V201" s="128">
        <v>161.57651200000001</v>
      </c>
      <c r="W201" s="128">
        <v>505</v>
      </c>
      <c r="X201" s="127" t="s">
        <v>52</v>
      </c>
      <c r="Y201" s="129">
        <v>45589</v>
      </c>
      <c r="Z201" s="127" t="s">
        <v>53</v>
      </c>
      <c r="AA201" s="127" t="s">
        <v>54</v>
      </c>
    </row>
    <row r="202" spans="1:27" ht="15.75" x14ac:dyDescent="0.25">
      <c r="A202" s="127" t="s">
        <v>887</v>
      </c>
      <c r="B202" s="127" t="s">
        <v>888</v>
      </c>
      <c r="C202" s="127" t="s">
        <v>889</v>
      </c>
      <c r="D202" s="127" t="s">
        <v>241</v>
      </c>
      <c r="E202" s="127" t="s">
        <v>890</v>
      </c>
      <c r="F202" s="127" t="s">
        <v>117</v>
      </c>
      <c r="G202" s="127" t="s">
        <v>72</v>
      </c>
      <c r="H202" s="127" t="s">
        <v>93</v>
      </c>
      <c r="I202" s="128">
        <v>4.1081612586037366</v>
      </c>
      <c r="J202" s="128">
        <v>23.217082000000001</v>
      </c>
      <c r="K202" s="128">
        <v>2.5053380000000001</v>
      </c>
      <c r="L202" s="128">
        <v>1.6049819999999999</v>
      </c>
      <c r="M202" s="128">
        <v>1.16726</v>
      </c>
      <c r="N202" s="128">
        <v>3.8967969999999998</v>
      </c>
      <c r="O202" s="128">
        <v>21.384342</v>
      </c>
      <c r="P202" s="128">
        <v>0.24555199999999999</v>
      </c>
      <c r="Q202" s="128">
        <v>2.9679720000000001</v>
      </c>
      <c r="R202" s="128">
        <v>1.5266900000000001</v>
      </c>
      <c r="S202" s="128">
        <v>1.5765119999999999</v>
      </c>
      <c r="T202" s="128">
        <v>2.3345199999999999</v>
      </c>
      <c r="U202" s="128">
        <v>23.056939</v>
      </c>
      <c r="V202" s="128">
        <v>15.099644</v>
      </c>
      <c r="W202" s="127"/>
      <c r="X202" s="127" t="s">
        <v>52</v>
      </c>
      <c r="Y202" s="129">
        <v>45554</v>
      </c>
      <c r="Z202" s="127" t="s">
        <v>95</v>
      </c>
      <c r="AA202" s="127" t="s">
        <v>54</v>
      </c>
    </row>
    <row r="203" spans="1:27" ht="15.75" x14ac:dyDescent="0.25">
      <c r="A203" s="127" t="s">
        <v>891</v>
      </c>
      <c r="B203" s="127" t="s">
        <v>892</v>
      </c>
      <c r="C203" s="127" t="s">
        <v>522</v>
      </c>
      <c r="D203" s="127" t="s">
        <v>85</v>
      </c>
      <c r="E203" s="127" t="s">
        <v>893</v>
      </c>
      <c r="F203" s="127" t="s">
        <v>87</v>
      </c>
      <c r="G203" s="127" t="s">
        <v>72</v>
      </c>
      <c r="H203" s="127" t="s">
        <v>93</v>
      </c>
      <c r="I203" s="128">
        <v>1.0968832144198271</v>
      </c>
      <c r="J203" s="128">
        <v>5.1708189999999998</v>
      </c>
      <c r="K203" s="128">
        <v>0.96441299999999996</v>
      </c>
      <c r="L203" s="128">
        <v>2.096085</v>
      </c>
      <c r="M203" s="128">
        <v>2.4555159999999998</v>
      </c>
      <c r="N203" s="128">
        <v>2.1565840000000001</v>
      </c>
      <c r="O203" s="128">
        <v>6.9466190000000001</v>
      </c>
      <c r="P203" s="128">
        <v>0.12099600000000001</v>
      </c>
      <c r="Q203" s="128">
        <v>1.4626330000000001</v>
      </c>
      <c r="R203" s="128">
        <v>1.88968</v>
      </c>
      <c r="S203" s="128">
        <v>0.42704599999999998</v>
      </c>
      <c r="T203" s="128">
        <v>0.34163700000000002</v>
      </c>
      <c r="U203" s="128">
        <v>8.0284700000000004</v>
      </c>
      <c r="V203" s="128">
        <v>5.5693950000000001</v>
      </c>
      <c r="W203" s="127"/>
      <c r="X203" s="127"/>
      <c r="Y203" s="130"/>
      <c r="Z203" s="127"/>
      <c r="AA203" s="127"/>
    </row>
    <row r="204" spans="1:27" ht="15.75" x14ac:dyDescent="0.25">
      <c r="A204" s="127" t="s">
        <v>894</v>
      </c>
      <c r="B204" s="127" t="s">
        <v>895</v>
      </c>
      <c r="C204" s="127" t="s">
        <v>896</v>
      </c>
      <c r="D204" s="127" t="s">
        <v>540</v>
      </c>
      <c r="E204" s="127" t="s">
        <v>897</v>
      </c>
      <c r="F204" s="127" t="s">
        <v>162</v>
      </c>
      <c r="G204" s="127" t="s">
        <v>79</v>
      </c>
      <c r="H204" s="127" t="s">
        <v>93</v>
      </c>
      <c r="I204" s="128">
        <v>4.1209636084059458</v>
      </c>
      <c r="J204" s="128">
        <v>14.206405999999999</v>
      </c>
      <c r="K204" s="128">
        <v>8.1174379999999999</v>
      </c>
      <c r="L204" s="128">
        <v>3.3024909999999998</v>
      </c>
      <c r="M204" s="128">
        <v>4.1281140000000001</v>
      </c>
      <c r="N204" s="128">
        <v>6.6370110000000002</v>
      </c>
      <c r="O204" s="128">
        <v>19.950178000000001</v>
      </c>
      <c r="P204" s="128">
        <v>0.75088999999999995</v>
      </c>
      <c r="Q204" s="128">
        <v>2.4163700000000001</v>
      </c>
      <c r="R204" s="128">
        <v>6.0177940000000003</v>
      </c>
      <c r="S204" s="128">
        <v>3.313167</v>
      </c>
      <c r="T204" s="128">
        <v>4.3238430000000001</v>
      </c>
      <c r="U204" s="128">
        <v>16.099644000000001</v>
      </c>
      <c r="V204" s="128">
        <v>16.213522999999999</v>
      </c>
      <c r="W204" s="127"/>
      <c r="X204" s="127" t="s">
        <v>173</v>
      </c>
      <c r="Y204" s="131">
        <v>45831</v>
      </c>
      <c r="Z204" s="127" t="s">
        <v>111</v>
      </c>
      <c r="AA204" s="127" t="s">
        <v>54</v>
      </c>
    </row>
    <row r="205" spans="1:27" ht="15.75" x14ac:dyDescent="0.25">
      <c r="A205" s="127" t="s">
        <v>898</v>
      </c>
      <c r="B205" s="127" t="s">
        <v>899</v>
      </c>
      <c r="C205" s="127" t="s">
        <v>900</v>
      </c>
      <c r="D205" s="127" t="s">
        <v>115</v>
      </c>
      <c r="E205" s="127" t="s">
        <v>901</v>
      </c>
      <c r="F205" s="127" t="s">
        <v>314</v>
      </c>
      <c r="G205" s="127" t="s">
        <v>79</v>
      </c>
      <c r="H205" s="127" t="s">
        <v>93</v>
      </c>
      <c r="I205" s="128">
        <v>0.54586946599726149</v>
      </c>
      <c r="J205" s="128">
        <v>0.25978600000000002</v>
      </c>
      <c r="K205" s="128">
        <v>3.0533809999999999</v>
      </c>
      <c r="L205" s="128">
        <v>0.45551599999999998</v>
      </c>
      <c r="M205" s="128">
        <v>0.59786499999999998</v>
      </c>
      <c r="N205" s="128">
        <v>2.5231319999999999</v>
      </c>
      <c r="O205" s="128">
        <v>1.014235</v>
      </c>
      <c r="P205" s="128">
        <v>0.61921700000000002</v>
      </c>
      <c r="Q205" s="128">
        <v>0.20996400000000001</v>
      </c>
      <c r="R205" s="128">
        <v>0.24555199999999999</v>
      </c>
      <c r="S205" s="128">
        <v>0.85409299999999999</v>
      </c>
      <c r="T205" s="128">
        <v>3.1743769999999998</v>
      </c>
      <c r="U205" s="128">
        <v>9.2526999999999998E-2</v>
      </c>
      <c r="V205" s="128">
        <v>4.2277579999999997</v>
      </c>
      <c r="W205" s="127"/>
      <c r="X205" s="127" t="s">
        <v>52</v>
      </c>
      <c r="Y205" s="129" t="s">
        <v>138</v>
      </c>
      <c r="Z205" s="127" t="s">
        <v>95</v>
      </c>
      <c r="AA205" s="127" t="s">
        <v>54</v>
      </c>
    </row>
    <row r="206" spans="1:27" ht="15.75" x14ac:dyDescent="0.25">
      <c r="A206" s="127" t="s">
        <v>902</v>
      </c>
      <c r="B206" s="127" t="s">
        <v>903</v>
      </c>
      <c r="C206" s="127" t="s">
        <v>904</v>
      </c>
      <c r="D206" s="127" t="s">
        <v>115</v>
      </c>
      <c r="E206" s="127" t="s">
        <v>905</v>
      </c>
      <c r="F206" s="127" t="s">
        <v>473</v>
      </c>
      <c r="G206" s="127" t="s">
        <v>79</v>
      </c>
      <c r="H206" s="127" t="s">
        <v>93</v>
      </c>
      <c r="I206" s="128">
        <v>1.142857142857143</v>
      </c>
      <c r="J206" s="128">
        <v>4.7615660000000002</v>
      </c>
      <c r="K206" s="128">
        <v>3.5590000000000001E-3</v>
      </c>
      <c r="L206" s="128">
        <v>0.41281099999999998</v>
      </c>
      <c r="M206" s="128">
        <v>1.4234999999999999E-2</v>
      </c>
      <c r="N206" s="128">
        <v>2.8469999999999999E-2</v>
      </c>
      <c r="O206" s="128">
        <v>5.0498219999999998</v>
      </c>
      <c r="P206" s="128">
        <v>3.5590000000000001E-3</v>
      </c>
      <c r="Q206" s="128">
        <v>0.11032</v>
      </c>
      <c r="R206" s="128">
        <v>2.1351999999999999E-2</v>
      </c>
      <c r="S206" s="128">
        <v>7.1170000000000001E-3</v>
      </c>
      <c r="T206" s="128">
        <v>7.1170000000000001E-3</v>
      </c>
      <c r="U206" s="128">
        <v>5.1565839999999996</v>
      </c>
      <c r="V206" s="128">
        <v>6.4057000000000003E-2</v>
      </c>
      <c r="W206" s="127"/>
      <c r="X206" s="127" t="s">
        <v>80</v>
      </c>
      <c r="Y206" s="131">
        <v>45765</v>
      </c>
      <c r="Z206" s="127" t="s">
        <v>95</v>
      </c>
      <c r="AA206" s="127" t="s">
        <v>54</v>
      </c>
    </row>
    <row r="207" spans="1:27" ht="15.75" x14ac:dyDescent="0.25">
      <c r="A207" s="127" t="s">
        <v>906</v>
      </c>
      <c r="B207" s="127" t="s">
        <v>907</v>
      </c>
      <c r="C207" s="127" t="s">
        <v>908</v>
      </c>
      <c r="D207" s="127" t="s">
        <v>85</v>
      </c>
      <c r="E207" s="127" t="s">
        <v>909</v>
      </c>
      <c r="F207" s="127" t="s">
        <v>87</v>
      </c>
      <c r="G207" s="127" t="s">
        <v>79</v>
      </c>
      <c r="H207" s="127" t="s">
        <v>93</v>
      </c>
      <c r="I207" s="128">
        <v>2.792934592514865</v>
      </c>
      <c r="J207" s="128">
        <v>20.743772</v>
      </c>
      <c r="K207" s="128">
        <v>2.8078289999999999</v>
      </c>
      <c r="L207" s="128">
        <v>1.512456</v>
      </c>
      <c r="M207" s="128">
        <v>3.2384339999999998</v>
      </c>
      <c r="N207" s="128">
        <v>4.8790040000000001</v>
      </c>
      <c r="O207" s="128">
        <v>23.423487999999999</v>
      </c>
      <c r="P207" s="128">
        <v>0</v>
      </c>
      <c r="Q207" s="128">
        <v>0</v>
      </c>
      <c r="R207" s="128">
        <v>2.846975</v>
      </c>
      <c r="S207" s="128">
        <v>1.7864770000000001</v>
      </c>
      <c r="T207" s="128">
        <v>2.2704629999999999</v>
      </c>
      <c r="U207" s="128">
        <v>21.398575999999998</v>
      </c>
      <c r="V207" s="128">
        <v>12.572953999999999</v>
      </c>
      <c r="W207" s="127"/>
      <c r="X207" s="127"/>
      <c r="Y207" s="130" t="s">
        <v>94</v>
      </c>
      <c r="Z207" s="127"/>
      <c r="AA207" s="127"/>
    </row>
    <row r="208" spans="1:27" ht="15.75" x14ac:dyDescent="0.25">
      <c r="A208" s="127" t="s">
        <v>910</v>
      </c>
      <c r="B208" s="127" t="s">
        <v>911</v>
      </c>
      <c r="C208" s="127" t="s">
        <v>912</v>
      </c>
      <c r="D208" s="127" t="s">
        <v>148</v>
      </c>
      <c r="E208" s="127" t="s">
        <v>913</v>
      </c>
      <c r="F208" s="127" t="s">
        <v>150</v>
      </c>
      <c r="G208" s="127" t="s">
        <v>79</v>
      </c>
      <c r="H208" s="127" t="s">
        <v>93</v>
      </c>
      <c r="I208" s="128">
        <v>6.1229508196721314</v>
      </c>
      <c r="J208" s="128">
        <v>1.88968</v>
      </c>
      <c r="K208" s="128">
        <v>0.67615700000000001</v>
      </c>
      <c r="L208" s="128">
        <v>0.188612</v>
      </c>
      <c r="M208" s="128">
        <v>5.6939999999999998E-2</v>
      </c>
      <c r="N208" s="128">
        <v>0.27046300000000001</v>
      </c>
      <c r="O208" s="128">
        <v>2.3807830000000001</v>
      </c>
      <c r="P208" s="128">
        <v>6.0498000000000003E-2</v>
      </c>
      <c r="Q208" s="128">
        <v>9.9643999999999996E-2</v>
      </c>
      <c r="R208" s="128">
        <v>0.19572999999999999</v>
      </c>
      <c r="S208" s="128">
        <v>5.6939999999999998E-2</v>
      </c>
      <c r="T208" s="128">
        <v>0.22775799999999999</v>
      </c>
      <c r="U208" s="128">
        <v>2.3309609999999998</v>
      </c>
      <c r="V208" s="128">
        <v>1.1423490000000001</v>
      </c>
      <c r="W208" s="127"/>
      <c r="X208" s="127"/>
      <c r="Y208" s="131">
        <v>46100</v>
      </c>
      <c r="Z208" s="127" t="s">
        <v>111</v>
      </c>
      <c r="AA208" s="127" t="s">
        <v>54</v>
      </c>
    </row>
    <row r="209" spans="1:27" ht="15.75" x14ac:dyDescent="0.25">
      <c r="A209" s="127" t="s">
        <v>914</v>
      </c>
      <c r="B209" s="127" t="s">
        <v>915</v>
      </c>
      <c r="C209" s="127" t="s">
        <v>916</v>
      </c>
      <c r="D209" s="127" t="s">
        <v>622</v>
      </c>
      <c r="E209" s="127" t="s">
        <v>917</v>
      </c>
      <c r="F209" s="127" t="s">
        <v>49</v>
      </c>
      <c r="G209" s="127" t="s">
        <v>79</v>
      </c>
      <c r="H209" s="127" t="s">
        <v>93</v>
      </c>
      <c r="I209" s="128">
        <v>1.7867298578199049</v>
      </c>
      <c r="J209" s="128">
        <v>1.4377219999999999</v>
      </c>
      <c r="K209" s="128">
        <v>1.701068</v>
      </c>
      <c r="L209" s="128">
        <v>1.5907469999999999</v>
      </c>
      <c r="M209" s="128">
        <v>0.62633499999999998</v>
      </c>
      <c r="N209" s="128">
        <v>1.092527</v>
      </c>
      <c r="O209" s="128">
        <v>3.8256230000000002</v>
      </c>
      <c r="P209" s="128">
        <v>0.106762</v>
      </c>
      <c r="Q209" s="128">
        <v>0.33096100000000001</v>
      </c>
      <c r="R209" s="128">
        <v>0.64768700000000001</v>
      </c>
      <c r="S209" s="128">
        <v>0.451957</v>
      </c>
      <c r="T209" s="128">
        <v>0.53380799999999995</v>
      </c>
      <c r="U209" s="128">
        <v>3.7224200000000001</v>
      </c>
      <c r="V209" s="128">
        <v>3.6654800000000001</v>
      </c>
      <c r="W209" s="127"/>
      <c r="X209" s="127" t="s">
        <v>110</v>
      </c>
      <c r="Y209" s="129" t="s">
        <v>138</v>
      </c>
      <c r="Z209" s="127" t="s">
        <v>95</v>
      </c>
      <c r="AA209" s="127" t="s">
        <v>54</v>
      </c>
    </row>
    <row r="210" spans="1:27" ht="15.75" x14ac:dyDescent="0.25">
      <c r="A210" s="127" t="s">
        <v>918</v>
      </c>
      <c r="B210" s="127" t="s">
        <v>919</v>
      </c>
      <c r="C210" s="127" t="s">
        <v>920</v>
      </c>
      <c r="D210" s="127" t="s">
        <v>160</v>
      </c>
      <c r="E210" s="127" t="s">
        <v>921</v>
      </c>
      <c r="F210" s="127" t="s">
        <v>162</v>
      </c>
      <c r="G210" s="127" t="s">
        <v>79</v>
      </c>
      <c r="H210" s="127" t="s">
        <v>93</v>
      </c>
      <c r="I210" s="128">
        <v>5.1933139534883717</v>
      </c>
      <c r="J210" s="128">
        <v>10.398577</v>
      </c>
      <c r="K210" s="128">
        <v>2.0533809999999999</v>
      </c>
      <c r="L210" s="128">
        <v>5.3380999999999998E-2</v>
      </c>
      <c r="M210" s="128">
        <v>0.43060500000000002</v>
      </c>
      <c r="N210" s="128">
        <v>2.8790040000000001</v>
      </c>
      <c r="O210" s="128">
        <v>9.6690389999999997</v>
      </c>
      <c r="P210" s="128">
        <v>0</v>
      </c>
      <c r="Q210" s="128">
        <v>0.38790000000000002</v>
      </c>
      <c r="R210" s="128">
        <v>2.4555159999999998</v>
      </c>
      <c r="S210" s="128">
        <v>1</v>
      </c>
      <c r="T210" s="128">
        <v>2.0249109999999999</v>
      </c>
      <c r="U210" s="128">
        <v>7.4555160000000003</v>
      </c>
      <c r="V210" s="128">
        <v>6.3985770000000004</v>
      </c>
      <c r="W210" s="127"/>
      <c r="X210" s="127" t="s">
        <v>80</v>
      </c>
      <c r="Y210" s="129" t="s">
        <v>138</v>
      </c>
      <c r="Z210" s="127" t="s">
        <v>81</v>
      </c>
      <c r="AA210" s="127" t="s">
        <v>54</v>
      </c>
    </row>
    <row r="211" spans="1:27" ht="15.75" x14ac:dyDescent="0.25">
      <c r="A211" s="127" t="s">
        <v>922</v>
      </c>
      <c r="B211" s="127" t="s">
        <v>923</v>
      </c>
      <c r="C211" s="127" t="s">
        <v>924</v>
      </c>
      <c r="D211" s="127" t="s">
        <v>458</v>
      </c>
      <c r="E211" s="127" t="s">
        <v>925</v>
      </c>
      <c r="F211" s="127" t="s">
        <v>162</v>
      </c>
      <c r="G211" s="127" t="s">
        <v>79</v>
      </c>
      <c r="H211" s="127" t="s">
        <v>93</v>
      </c>
      <c r="I211" s="128">
        <v>25.012110726643598</v>
      </c>
      <c r="J211" s="128">
        <v>13.857651000000001</v>
      </c>
      <c r="K211" s="128">
        <v>9.3665479999999999</v>
      </c>
      <c r="L211" s="128">
        <v>12.957295</v>
      </c>
      <c r="M211" s="128">
        <v>12.209963999999999</v>
      </c>
      <c r="N211" s="128">
        <v>16.761565999999998</v>
      </c>
      <c r="O211" s="128">
        <v>28.106762</v>
      </c>
      <c r="P211" s="128">
        <v>0.44839899999999999</v>
      </c>
      <c r="Q211" s="128">
        <v>3.0747330000000002</v>
      </c>
      <c r="R211" s="128">
        <v>12.793594000000001</v>
      </c>
      <c r="S211" s="128">
        <v>4.94306</v>
      </c>
      <c r="T211" s="128">
        <v>7.5231320000000004</v>
      </c>
      <c r="U211" s="128">
        <v>23.131671999999998</v>
      </c>
      <c r="V211" s="128">
        <v>26.113879000000001</v>
      </c>
      <c r="W211" s="127"/>
      <c r="X211" s="127" t="s">
        <v>52</v>
      </c>
      <c r="Y211" s="129">
        <v>45603</v>
      </c>
      <c r="Z211" s="127" t="s">
        <v>95</v>
      </c>
      <c r="AA211" s="127" t="s">
        <v>54</v>
      </c>
    </row>
    <row r="212" spans="1:27" ht="15.75" x14ac:dyDescent="0.25">
      <c r="A212" s="127" t="s">
        <v>926</v>
      </c>
      <c r="B212" s="127" t="s">
        <v>927</v>
      </c>
      <c r="C212" s="127" t="s">
        <v>928</v>
      </c>
      <c r="D212" s="127" t="s">
        <v>322</v>
      </c>
      <c r="E212" s="127" t="s">
        <v>929</v>
      </c>
      <c r="F212" s="127" t="s">
        <v>123</v>
      </c>
      <c r="G212" s="127" t="s">
        <v>79</v>
      </c>
      <c r="H212" s="127" t="s">
        <v>93</v>
      </c>
      <c r="I212" s="128">
        <v>1.8974358974358969</v>
      </c>
      <c r="J212" s="128">
        <v>1.2348749999999999</v>
      </c>
      <c r="K212" s="128">
        <v>0.23131699999999999</v>
      </c>
      <c r="L212" s="128">
        <v>0.33807799999999999</v>
      </c>
      <c r="M212" s="128">
        <v>0.31672600000000001</v>
      </c>
      <c r="N212" s="128">
        <v>0.377224</v>
      </c>
      <c r="O212" s="128">
        <v>1.16726</v>
      </c>
      <c r="P212" s="128">
        <v>6.0498000000000003E-2</v>
      </c>
      <c r="Q212" s="128">
        <v>0.51601399999999997</v>
      </c>
      <c r="R212" s="128">
        <v>0.13167300000000001</v>
      </c>
      <c r="S212" s="128">
        <v>0.28825600000000001</v>
      </c>
      <c r="T212" s="128">
        <v>0.30960900000000002</v>
      </c>
      <c r="U212" s="128">
        <v>1.391459</v>
      </c>
      <c r="V212" s="128">
        <v>1.3380780000000001</v>
      </c>
      <c r="W212" s="127"/>
      <c r="X212" s="127" t="s">
        <v>110</v>
      </c>
      <c r="Y212" s="129">
        <v>45848</v>
      </c>
      <c r="Z212" s="127" t="s">
        <v>95</v>
      </c>
      <c r="AA212" s="127" t="s">
        <v>54</v>
      </c>
    </row>
    <row r="213" spans="1:27" ht="15.75" x14ac:dyDescent="0.25">
      <c r="A213" s="127" t="s">
        <v>930</v>
      </c>
      <c r="B213" s="127" t="s">
        <v>931</v>
      </c>
      <c r="C213" s="127" t="s">
        <v>544</v>
      </c>
      <c r="D213" s="127" t="s">
        <v>115</v>
      </c>
      <c r="E213" s="127" t="s">
        <v>545</v>
      </c>
      <c r="F213" s="127" t="s">
        <v>260</v>
      </c>
      <c r="G213" s="127" t="s">
        <v>50</v>
      </c>
      <c r="H213" s="127" t="s">
        <v>93</v>
      </c>
      <c r="I213" s="128">
        <v>56.671265461465268</v>
      </c>
      <c r="J213" s="128">
        <v>277.57295399999998</v>
      </c>
      <c r="K213" s="128">
        <v>17.199287999999999</v>
      </c>
      <c r="L213" s="128">
        <v>37.946618999999998</v>
      </c>
      <c r="M213" s="128">
        <v>45.665480000000002</v>
      </c>
      <c r="N213" s="128">
        <v>40.740214000000002</v>
      </c>
      <c r="O213" s="128">
        <v>333.35587199999998</v>
      </c>
      <c r="P213" s="128">
        <v>0.99288299999999996</v>
      </c>
      <c r="Q213" s="128">
        <v>3.2953739999999998</v>
      </c>
      <c r="R213" s="128">
        <v>20.430605</v>
      </c>
      <c r="S213" s="128">
        <v>15.149466</v>
      </c>
      <c r="T213" s="128">
        <v>26.345196000000001</v>
      </c>
      <c r="U213" s="128">
        <v>316.45907499999998</v>
      </c>
      <c r="V213" s="128">
        <v>237.88256200000001</v>
      </c>
      <c r="W213" s="128">
        <v>250</v>
      </c>
      <c r="X213" s="127" t="s">
        <v>52</v>
      </c>
      <c r="Y213" s="129">
        <v>46058</v>
      </c>
      <c r="Z213" s="127" t="s">
        <v>53</v>
      </c>
      <c r="AA213" s="127" t="s">
        <v>54</v>
      </c>
    </row>
    <row r="214" spans="1:27" ht="15.75" x14ac:dyDescent="0.25">
      <c r="A214" s="127" t="s">
        <v>932</v>
      </c>
      <c r="B214" s="127" t="s">
        <v>933</v>
      </c>
      <c r="C214" s="127" t="s">
        <v>934</v>
      </c>
      <c r="D214" s="127" t="s">
        <v>160</v>
      </c>
      <c r="E214" s="127" t="s">
        <v>935</v>
      </c>
      <c r="F214" s="127" t="s">
        <v>162</v>
      </c>
      <c r="G214" s="127" t="s">
        <v>79</v>
      </c>
      <c r="H214" s="127" t="s">
        <v>93</v>
      </c>
      <c r="I214" s="128">
        <v>3.9042735042735042</v>
      </c>
      <c r="J214" s="128">
        <v>6.2811389999999996</v>
      </c>
      <c r="K214" s="128">
        <v>1.4911030000000001</v>
      </c>
      <c r="L214" s="128">
        <v>0.11032</v>
      </c>
      <c r="M214" s="128">
        <v>0.391459</v>
      </c>
      <c r="N214" s="128">
        <v>1.7153020000000001</v>
      </c>
      <c r="O214" s="128">
        <v>6.1423490000000003</v>
      </c>
      <c r="P214" s="128">
        <v>6.0498000000000003E-2</v>
      </c>
      <c r="Q214" s="128">
        <v>0.35587200000000002</v>
      </c>
      <c r="R214" s="128">
        <v>1.3878999999999999</v>
      </c>
      <c r="S214" s="128">
        <v>1.2206410000000001</v>
      </c>
      <c r="T214" s="128">
        <v>1.761566</v>
      </c>
      <c r="U214" s="128">
        <v>3.903915</v>
      </c>
      <c r="V214" s="128">
        <v>4.5124560000000002</v>
      </c>
      <c r="W214" s="127"/>
      <c r="X214" s="127"/>
      <c r="Y214" s="130"/>
      <c r="Z214" s="127"/>
      <c r="AA214" s="127"/>
    </row>
    <row r="215" spans="1:27" ht="15.75" x14ac:dyDescent="0.25">
      <c r="A215" s="127" t="s">
        <v>936</v>
      </c>
      <c r="B215" s="127" t="s">
        <v>937</v>
      </c>
      <c r="C215" s="127" t="s">
        <v>938</v>
      </c>
      <c r="D215" s="127" t="s">
        <v>518</v>
      </c>
      <c r="E215" s="127" t="s">
        <v>939</v>
      </c>
      <c r="F215" s="127" t="s">
        <v>49</v>
      </c>
      <c r="G215" s="127" t="s">
        <v>50</v>
      </c>
      <c r="H215" s="127" t="s">
        <v>93</v>
      </c>
      <c r="I215" s="128">
        <v>21.90583634175692</v>
      </c>
      <c r="J215" s="128">
        <v>266.16726</v>
      </c>
      <c r="K215" s="128">
        <v>35.071173999999999</v>
      </c>
      <c r="L215" s="128">
        <v>37.597864999999999</v>
      </c>
      <c r="M215" s="128">
        <v>25.501778999999999</v>
      </c>
      <c r="N215" s="128">
        <v>42.056939999999997</v>
      </c>
      <c r="O215" s="128">
        <v>301.80426999999997</v>
      </c>
      <c r="P215" s="128">
        <v>0.50533799999999995</v>
      </c>
      <c r="Q215" s="128">
        <v>19.971530000000001</v>
      </c>
      <c r="R215" s="128">
        <v>28.092527</v>
      </c>
      <c r="S215" s="128">
        <v>15.291815</v>
      </c>
      <c r="T215" s="128">
        <v>32.451957</v>
      </c>
      <c r="U215" s="128">
        <v>288.50178</v>
      </c>
      <c r="V215" s="128">
        <v>169.57651200000001</v>
      </c>
      <c r="W215" s="128">
        <v>450</v>
      </c>
      <c r="X215" s="127" t="s">
        <v>52</v>
      </c>
      <c r="Y215" s="129">
        <v>46093</v>
      </c>
      <c r="Z215" s="127" t="s">
        <v>309</v>
      </c>
      <c r="AA215" s="127" t="s">
        <v>54</v>
      </c>
    </row>
    <row r="216" spans="1:27" ht="15.75" x14ac:dyDescent="0.25">
      <c r="A216" s="127" t="s">
        <v>940</v>
      </c>
      <c r="B216" s="127" t="s">
        <v>941</v>
      </c>
      <c r="C216" s="127" t="s">
        <v>942</v>
      </c>
      <c r="D216" s="127" t="s">
        <v>65</v>
      </c>
      <c r="E216" s="127" t="s">
        <v>943</v>
      </c>
      <c r="F216" s="127" t="s">
        <v>49</v>
      </c>
      <c r="G216" s="127" t="s">
        <v>50</v>
      </c>
      <c r="H216" s="127" t="s">
        <v>51</v>
      </c>
      <c r="I216" s="128">
        <v>26.04982076991012</v>
      </c>
      <c r="J216" s="128">
        <v>904.83629900000005</v>
      </c>
      <c r="K216" s="128">
        <v>160.338078</v>
      </c>
      <c r="L216" s="128">
        <v>235.86832699999999</v>
      </c>
      <c r="M216" s="128">
        <v>196.63345200000001</v>
      </c>
      <c r="N216" s="128">
        <v>342.97508900000003</v>
      </c>
      <c r="O216" s="128">
        <v>1154.6476869999999</v>
      </c>
      <c r="P216" s="128">
        <v>0</v>
      </c>
      <c r="Q216" s="128">
        <v>5.3380999999999998E-2</v>
      </c>
      <c r="R216" s="128">
        <v>191.81850499999999</v>
      </c>
      <c r="S216" s="128">
        <v>108.096085</v>
      </c>
      <c r="T216" s="128">
        <v>146.46619200000001</v>
      </c>
      <c r="U216" s="128">
        <v>1051.295374</v>
      </c>
      <c r="V216" s="128">
        <v>1095.818505</v>
      </c>
      <c r="W216" s="128">
        <v>946</v>
      </c>
      <c r="X216" s="127" t="s">
        <v>52</v>
      </c>
      <c r="Y216" s="129">
        <v>46037</v>
      </c>
      <c r="Z216" s="127" t="s">
        <v>309</v>
      </c>
      <c r="AA216" s="127" t="s">
        <v>54</v>
      </c>
    </row>
    <row r="217" spans="1:27" ht="15.75" x14ac:dyDescent="0.25">
      <c r="A217" s="127" t="s">
        <v>944</v>
      </c>
      <c r="B217" s="127" t="s">
        <v>945</v>
      </c>
      <c r="C217" s="127" t="s">
        <v>946</v>
      </c>
      <c r="D217" s="127" t="s">
        <v>453</v>
      </c>
      <c r="E217" s="127" t="s">
        <v>947</v>
      </c>
      <c r="F217" s="127" t="s">
        <v>150</v>
      </c>
      <c r="G217" s="127" t="s">
        <v>79</v>
      </c>
      <c r="H217" s="127" t="s">
        <v>93</v>
      </c>
      <c r="I217" s="128">
        <v>25.13993174061433</v>
      </c>
      <c r="J217" s="128">
        <v>30.192170999999998</v>
      </c>
      <c r="K217" s="128">
        <v>7.0818510000000003</v>
      </c>
      <c r="L217" s="128">
        <v>9.4982209999999991</v>
      </c>
      <c r="M217" s="128">
        <v>17.661922000000001</v>
      </c>
      <c r="N217" s="128">
        <v>25.088968000000001</v>
      </c>
      <c r="O217" s="128">
        <v>32.366548000000002</v>
      </c>
      <c r="P217" s="128">
        <v>1.615658</v>
      </c>
      <c r="Q217" s="128">
        <v>5.3629889999999998</v>
      </c>
      <c r="R217" s="128">
        <v>16.345196000000001</v>
      </c>
      <c r="S217" s="128">
        <v>7.3879000000000001</v>
      </c>
      <c r="T217" s="128">
        <v>9.2064059999999994</v>
      </c>
      <c r="U217" s="128">
        <v>31.494662000000002</v>
      </c>
      <c r="V217" s="128">
        <v>45.163701000000003</v>
      </c>
      <c r="W217" s="127"/>
      <c r="X217" s="127" t="s">
        <v>110</v>
      </c>
      <c r="Y217" s="129">
        <v>45834</v>
      </c>
      <c r="Z217" s="127" t="s">
        <v>111</v>
      </c>
      <c r="AA217" s="127" t="s">
        <v>54</v>
      </c>
    </row>
    <row r="218" spans="1:27" ht="15.75" x14ac:dyDescent="0.25">
      <c r="A218" s="127" t="s">
        <v>948</v>
      </c>
      <c r="B218" s="127" t="s">
        <v>949</v>
      </c>
      <c r="C218" s="127" t="s">
        <v>950</v>
      </c>
      <c r="D218" s="127" t="s">
        <v>951</v>
      </c>
      <c r="E218" s="127" t="s">
        <v>952</v>
      </c>
      <c r="F218" s="127" t="s">
        <v>108</v>
      </c>
      <c r="G218" s="127" t="s">
        <v>79</v>
      </c>
      <c r="H218" s="127" t="s">
        <v>93</v>
      </c>
      <c r="I218" s="128">
        <v>37.279009126466747</v>
      </c>
      <c r="J218" s="128">
        <v>39.441280999999996</v>
      </c>
      <c r="K218" s="128">
        <v>5.9323839999999999</v>
      </c>
      <c r="L218" s="128">
        <v>29.380783000000001</v>
      </c>
      <c r="M218" s="128">
        <v>33.501778999999999</v>
      </c>
      <c r="N218" s="128">
        <v>30.487544</v>
      </c>
      <c r="O218" s="128">
        <v>77.192171000000002</v>
      </c>
      <c r="P218" s="128">
        <v>1.7794000000000001E-2</v>
      </c>
      <c r="Q218" s="128">
        <v>0.55871899999999997</v>
      </c>
      <c r="R218" s="128">
        <v>23.234874999999999</v>
      </c>
      <c r="S218" s="128">
        <v>6.2313169999999998</v>
      </c>
      <c r="T218" s="128">
        <v>7.8362990000000003</v>
      </c>
      <c r="U218" s="128">
        <v>70.953736000000006</v>
      </c>
      <c r="V218" s="128">
        <v>53.131672999999999</v>
      </c>
      <c r="W218" s="127"/>
      <c r="X218" s="127" t="s">
        <v>110</v>
      </c>
      <c r="Y218" s="129">
        <v>46149</v>
      </c>
      <c r="Z218" s="127" t="s">
        <v>95</v>
      </c>
      <c r="AA218" s="127" t="s">
        <v>54</v>
      </c>
    </row>
  </sheetData>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475"/>
  <sheetViews>
    <sheetView zoomScale="80" zoomScaleNormal="80" workbookViewId="0">
      <selection sqref="A1:B4"/>
    </sheetView>
  </sheetViews>
  <sheetFormatPr defaultRowHeight="15" x14ac:dyDescent="0.25"/>
  <cols>
    <col min="1" max="1" width="52.42578125" customWidth="1"/>
    <col min="2" max="2" width="40.5703125" customWidth="1"/>
  </cols>
  <sheetData>
    <row r="1" spans="1:6" ht="26.1" customHeight="1" x14ac:dyDescent="0.25">
      <c r="A1" s="147" t="s">
        <v>1006</v>
      </c>
      <c r="B1" s="147"/>
      <c r="C1" s="17"/>
      <c r="D1" s="17"/>
      <c r="E1" s="17"/>
      <c r="F1" s="17"/>
    </row>
    <row r="2" spans="1:6" ht="15" customHeight="1" x14ac:dyDescent="0.25">
      <c r="A2" s="147"/>
      <c r="B2" s="147"/>
    </row>
    <row r="3" spans="1:6" x14ac:dyDescent="0.25">
      <c r="A3" s="147"/>
      <c r="B3" s="147"/>
    </row>
    <row r="4" spans="1:6" ht="15.75" thickBot="1" x14ac:dyDescent="0.3">
      <c r="A4" s="148"/>
      <c r="B4" s="148"/>
    </row>
    <row r="5" spans="1:6" x14ac:dyDescent="0.25">
      <c r="A5" s="54" t="s">
        <v>1007</v>
      </c>
      <c r="B5" s="55"/>
    </row>
    <row r="6" spans="1:6" x14ac:dyDescent="0.25">
      <c r="A6" s="39" t="s">
        <v>1008</v>
      </c>
      <c r="B6" s="39" t="s">
        <v>1009</v>
      </c>
    </row>
    <row r="7" spans="1:6" x14ac:dyDescent="0.25">
      <c r="A7" s="16" t="s">
        <v>847</v>
      </c>
      <c r="B7" s="16">
        <v>110</v>
      </c>
    </row>
    <row r="8" spans="1:6" x14ac:dyDescent="0.25">
      <c r="A8" s="16" t="s">
        <v>642</v>
      </c>
      <c r="B8" s="16">
        <v>88</v>
      </c>
    </row>
    <row r="9" spans="1:6" x14ac:dyDescent="0.25">
      <c r="A9" s="16" t="s">
        <v>55</v>
      </c>
      <c r="B9" s="16">
        <v>65</v>
      </c>
    </row>
    <row r="10" spans="1:6" x14ac:dyDescent="0.25">
      <c r="A10" s="16" t="s">
        <v>357</v>
      </c>
      <c r="B10" s="16">
        <v>47</v>
      </c>
    </row>
    <row r="11" spans="1:6" x14ac:dyDescent="0.25">
      <c r="A11" s="16" t="s">
        <v>478</v>
      </c>
      <c r="B11" s="16">
        <v>46</v>
      </c>
    </row>
    <row r="12" spans="1:6" x14ac:dyDescent="0.25">
      <c r="A12" s="16" t="s">
        <v>679</v>
      </c>
      <c r="B12" s="16">
        <v>45</v>
      </c>
    </row>
    <row r="13" spans="1:6" x14ac:dyDescent="0.25">
      <c r="A13" s="16" t="s">
        <v>353</v>
      </c>
      <c r="B13" s="16">
        <v>44</v>
      </c>
    </row>
    <row r="14" spans="1:6" x14ac:dyDescent="0.25">
      <c r="A14" s="16" t="s">
        <v>184</v>
      </c>
      <c r="B14" s="16">
        <v>41</v>
      </c>
    </row>
    <row r="15" spans="1:6" x14ac:dyDescent="0.25">
      <c r="A15" s="16" t="s">
        <v>336</v>
      </c>
      <c r="B15" s="16">
        <v>32</v>
      </c>
    </row>
    <row r="16" spans="1:6" x14ac:dyDescent="0.25">
      <c r="A16" s="16" t="s">
        <v>365</v>
      </c>
      <c r="B16" s="16">
        <v>31</v>
      </c>
    </row>
    <row r="17" spans="1:2" x14ac:dyDescent="0.25">
      <c r="A17" s="16" t="s">
        <v>709</v>
      </c>
      <c r="B17" s="16">
        <v>28</v>
      </c>
    </row>
    <row r="18" spans="1:2" x14ac:dyDescent="0.25">
      <c r="A18" s="16" t="s">
        <v>672</v>
      </c>
      <c r="B18" s="16">
        <v>26</v>
      </c>
    </row>
    <row r="19" spans="1:2" x14ac:dyDescent="0.25">
      <c r="A19" s="16" t="s">
        <v>292</v>
      </c>
      <c r="B19" s="16">
        <v>24</v>
      </c>
    </row>
    <row r="20" spans="1:2" x14ac:dyDescent="0.25">
      <c r="A20" s="16" t="s">
        <v>469</v>
      </c>
      <c r="B20" s="16">
        <v>22</v>
      </c>
    </row>
    <row r="21" spans="1:2" x14ac:dyDescent="0.25">
      <c r="A21" s="16" t="s">
        <v>207</v>
      </c>
      <c r="B21" s="16">
        <v>22</v>
      </c>
    </row>
    <row r="22" spans="1:2" x14ac:dyDescent="0.25">
      <c r="A22" s="16" t="s">
        <v>139</v>
      </c>
      <c r="B22" s="16">
        <v>21</v>
      </c>
    </row>
    <row r="23" spans="1:2" x14ac:dyDescent="0.25">
      <c r="A23" s="16" t="s">
        <v>640</v>
      </c>
      <c r="B23" s="16">
        <v>21</v>
      </c>
    </row>
    <row r="24" spans="1:2" x14ac:dyDescent="0.25">
      <c r="A24" s="16" t="s">
        <v>387</v>
      </c>
      <c r="B24" s="16">
        <v>21</v>
      </c>
    </row>
    <row r="25" spans="1:2" x14ac:dyDescent="0.25">
      <c r="A25" s="16" t="s">
        <v>762</v>
      </c>
      <c r="B25" s="16">
        <v>19</v>
      </c>
    </row>
    <row r="26" spans="1:2" x14ac:dyDescent="0.25">
      <c r="A26" s="16" t="s">
        <v>390</v>
      </c>
      <c r="B26" s="16">
        <v>16</v>
      </c>
    </row>
    <row r="27" spans="1:2" x14ac:dyDescent="0.25">
      <c r="A27" s="16" t="s">
        <v>1010</v>
      </c>
      <c r="B27" s="16">
        <v>15</v>
      </c>
    </row>
    <row r="28" spans="1:2" x14ac:dyDescent="0.25">
      <c r="A28" s="16" t="s">
        <v>427</v>
      </c>
      <c r="B28" s="16">
        <v>15</v>
      </c>
    </row>
    <row r="29" spans="1:2" x14ac:dyDescent="0.25">
      <c r="A29" s="16" t="s">
        <v>211</v>
      </c>
      <c r="B29" s="16">
        <v>12</v>
      </c>
    </row>
    <row r="30" spans="1:2" x14ac:dyDescent="0.25">
      <c r="A30" s="16" t="s">
        <v>112</v>
      </c>
      <c r="B30" s="16">
        <v>8</v>
      </c>
    </row>
    <row r="31" spans="1:2" x14ac:dyDescent="0.25">
      <c r="A31" s="16" t="s">
        <v>344</v>
      </c>
      <c r="B31" s="16">
        <v>7</v>
      </c>
    </row>
    <row r="32" spans="1:2" x14ac:dyDescent="0.25">
      <c r="A32" s="16" t="s">
        <v>200</v>
      </c>
      <c r="B32" s="16">
        <v>6</v>
      </c>
    </row>
    <row r="33" spans="1:2" x14ac:dyDescent="0.25">
      <c r="A33" s="16" t="s">
        <v>520</v>
      </c>
      <c r="B33" s="16">
        <v>5</v>
      </c>
    </row>
    <row r="34" spans="1:2" x14ac:dyDescent="0.25">
      <c r="A34" s="16" t="s">
        <v>930</v>
      </c>
      <c r="B34" s="16">
        <v>4</v>
      </c>
    </row>
    <row r="35" spans="1:2" x14ac:dyDescent="0.25">
      <c r="A35" s="16" t="s">
        <v>168</v>
      </c>
      <c r="B35" s="16">
        <v>3</v>
      </c>
    </row>
    <row r="36" spans="1:2" x14ac:dyDescent="0.25">
      <c r="A36" s="16" t="s">
        <v>733</v>
      </c>
      <c r="B36" s="16">
        <v>3</v>
      </c>
    </row>
    <row r="37" spans="1:2" x14ac:dyDescent="0.25">
      <c r="A37" s="16" t="s">
        <v>843</v>
      </c>
      <c r="B37" s="16">
        <v>3</v>
      </c>
    </row>
    <row r="38" spans="1:2" x14ac:dyDescent="0.25">
      <c r="A38" s="16" t="s">
        <v>68</v>
      </c>
      <c r="B38" s="16">
        <v>2</v>
      </c>
    </row>
    <row r="39" spans="1:2" x14ac:dyDescent="0.25">
      <c r="A39" s="16" t="s">
        <v>662</v>
      </c>
      <c r="B39" s="16">
        <v>2</v>
      </c>
    </row>
    <row r="40" spans="1:2" x14ac:dyDescent="0.25">
      <c r="A40" s="16" t="s">
        <v>867</v>
      </c>
      <c r="B40" s="16">
        <v>2</v>
      </c>
    </row>
    <row r="41" spans="1:2" x14ac:dyDescent="0.25">
      <c r="A41" s="16" t="s">
        <v>604</v>
      </c>
      <c r="B41" s="16">
        <v>1</v>
      </c>
    </row>
    <row r="42" spans="1:2" x14ac:dyDescent="0.25">
      <c r="A42" s="16" t="s">
        <v>839</v>
      </c>
      <c r="B42" s="16">
        <v>1</v>
      </c>
    </row>
    <row r="43" spans="1:2" x14ac:dyDescent="0.25">
      <c r="A43" s="16" t="s">
        <v>460</v>
      </c>
      <c r="B43" s="16">
        <v>1</v>
      </c>
    </row>
    <row r="44" spans="1:2" x14ac:dyDescent="0.25">
      <c r="A44" s="16" t="s">
        <v>580</v>
      </c>
      <c r="B44" s="16">
        <v>1</v>
      </c>
    </row>
    <row r="45" spans="1:2" x14ac:dyDescent="0.25">
      <c r="A45" s="16" t="s">
        <v>560</v>
      </c>
      <c r="B45" s="16">
        <v>1</v>
      </c>
    </row>
    <row r="46" spans="1:2" x14ac:dyDescent="0.25">
      <c r="A46" s="16" t="s">
        <v>564</v>
      </c>
      <c r="B46" s="16">
        <v>1</v>
      </c>
    </row>
    <row r="47" spans="1:2" x14ac:dyDescent="0.25">
      <c r="A47" s="16" t="s">
        <v>495</v>
      </c>
      <c r="B47" s="16">
        <v>1</v>
      </c>
    </row>
    <row r="48" spans="1:2" x14ac:dyDescent="0.25">
      <c r="A48" s="16" t="s">
        <v>487</v>
      </c>
      <c r="B48" s="16">
        <v>1</v>
      </c>
    </row>
    <row r="49" spans="1:2" x14ac:dyDescent="0.25">
      <c r="A49" s="40" t="s">
        <v>966</v>
      </c>
      <c r="B49" s="41">
        <v>864</v>
      </c>
    </row>
    <row r="50" spans="1:2" x14ac:dyDescent="0.25">
      <c r="A50" s="42"/>
    </row>
    <row r="51" spans="1:2" ht="15.75" thickBot="1" x14ac:dyDescent="0.3">
      <c r="A51" s="42"/>
    </row>
    <row r="52" spans="1:2" x14ac:dyDescent="0.25">
      <c r="A52" s="54" t="s">
        <v>1011</v>
      </c>
      <c r="B52" s="55"/>
    </row>
    <row r="53" spans="1:2" x14ac:dyDescent="0.25">
      <c r="A53" s="39" t="s">
        <v>1008</v>
      </c>
      <c r="B53" s="39" t="s">
        <v>1009</v>
      </c>
    </row>
    <row r="54" spans="1:2" x14ac:dyDescent="0.25">
      <c r="A54" s="16" t="s">
        <v>642</v>
      </c>
      <c r="B54" s="16">
        <v>100</v>
      </c>
    </row>
    <row r="55" spans="1:2" x14ac:dyDescent="0.25">
      <c r="A55" s="16" t="s">
        <v>55</v>
      </c>
      <c r="B55" s="16">
        <v>74</v>
      </c>
    </row>
    <row r="56" spans="1:2" x14ac:dyDescent="0.25">
      <c r="A56" s="16" t="s">
        <v>847</v>
      </c>
      <c r="B56" s="16">
        <v>73</v>
      </c>
    </row>
    <row r="57" spans="1:2" x14ac:dyDescent="0.25">
      <c r="A57" s="16" t="s">
        <v>353</v>
      </c>
      <c r="B57" s="16">
        <v>55</v>
      </c>
    </row>
    <row r="58" spans="1:2" x14ac:dyDescent="0.25">
      <c r="A58" s="16" t="s">
        <v>478</v>
      </c>
      <c r="B58" s="16">
        <v>55</v>
      </c>
    </row>
    <row r="59" spans="1:2" x14ac:dyDescent="0.25">
      <c r="A59" s="16" t="s">
        <v>357</v>
      </c>
      <c r="B59" s="16">
        <v>41</v>
      </c>
    </row>
    <row r="60" spans="1:2" x14ac:dyDescent="0.25">
      <c r="A60" s="16" t="s">
        <v>640</v>
      </c>
      <c r="B60" s="16">
        <v>37</v>
      </c>
    </row>
    <row r="61" spans="1:2" x14ac:dyDescent="0.25">
      <c r="A61" s="16" t="s">
        <v>387</v>
      </c>
      <c r="B61" s="16">
        <v>33</v>
      </c>
    </row>
    <row r="62" spans="1:2" x14ac:dyDescent="0.25">
      <c r="A62" s="16" t="s">
        <v>207</v>
      </c>
      <c r="B62" s="16">
        <v>32</v>
      </c>
    </row>
    <row r="63" spans="1:2" x14ac:dyDescent="0.25">
      <c r="A63" s="16" t="s">
        <v>292</v>
      </c>
      <c r="B63" s="16">
        <v>32</v>
      </c>
    </row>
    <row r="64" spans="1:2" x14ac:dyDescent="0.25">
      <c r="A64" s="16" t="s">
        <v>679</v>
      </c>
      <c r="B64" s="16">
        <v>32</v>
      </c>
    </row>
    <row r="65" spans="1:2" x14ac:dyDescent="0.25">
      <c r="A65" s="16" t="s">
        <v>672</v>
      </c>
      <c r="B65" s="16">
        <v>31</v>
      </c>
    </row>
    <row r="66" spans="1:2" x14ac:dyDescent="0.25">
      <c r="A66" s="16" t="s">
        <v>184</v>
      </c>
      <c r="B66" s="16">
        <v>28</v>
      </c>
    </row>
    <row r="67" spans="1:2" x14ac:dyDescent="0.25">
      <c r="A67" s="16" t="s">
        <v>336</v>
      </c>
      <c r="B67" s="16">
        <v>27</v>
      </c>
    </row>
    <row r="68" spans="1:2" x14ac:dyDescent="0.25">
      <c r="A68" s="16" t="s">
        <v>390</v>
      </c>
      <c r="B68" s="16">
        <v>25</v>
      </c>
    </row>
    <row r="69" spans="1:2" x14ac:dyDescent="0.25">
      <c r="A69" s="16" t="s">
        <v>469</v>
      </c>
      <c r="B69" s="16">
        <v>23</v>
      </c>
    </row>
    <row r="70" spans="1:2" x14ac:dyDescent="0.25">
      <c r="A70" s="16" t="s">
        <v>709</v>
      </c>
      <c r="B70" s="16">
        <v>22</v>
      </c>
    </row>
    <row r="71" spans="1:2" x14ac:dyDescent="0.25">
      <c r="A71" s="16" t="s">
        <v>139</v>
      </c>
      <c r="B71" s="16">
        <v>22</v>
      </c>
    </row>
    <row r="72" spans="1:2" x14ac:dyDescent="0.25">
      <c r="A72" s="16" t="s">
        <v>365</v>
      </c>
      <c r="B72" s="16">
        <v>18</v>
      </c>
    </row>
    <row r="73" spans="1:2" x14ac:dyDescent="0.25">
      <c r="A73" s="16" t="s">
        <v>112</v>
      </c>
      <c r="B73" s="16">
        <v>14</v>
      </c>
    </row>
    <row r="74" spans="1:2" x14ac:dyDescent="0.25">
      <c r="A74" s="16" t="s">
        <v>1010</v>
      </c>
      <c r="B74" s="16">
        <v>13</v>
      </c>
    </row>
    <row r="75" spans="1:2" x14ac:dyDescent="0.25">
      <c r="A75" s="16" t="s">
        <v>200</v>
      </c>
      <c r="B75" s="16">
        <v>11</v>
      </c>
    </row>
    <row r="76" spans="1:2" x14ac:dyDescent="0.25">
      <c r="A76" s="16" t="s">
        <v>211</v>
      </c>
      <c r="B76" s="16">
        <v>11</v>
      </c>
    </row>
    <row r="77" spans="1:2" x14ac:dyDescent="0.25">
      <c r="A77" s="16" t="s">
        <v>344</v>
      </c>
      <c r="B77" s="16">
        <v>10</v>
      </c>
    </row>
    <row r="78" spans="1:2" x14ac:dyDescent="0.25">
      <c r="A78" s="16" t="s">
        <v>777</v>
      </c>
      <c r="B78" s="16">
        <v>10</v>
      </c>
    </row>
    <row r="79" spans="1:2" x14ac:dyDescent="0.25">
      <c r="A79" s="16" t="s">
        <v>520</v>
      </c>
      <c r="B79" s="16">
        <v>10</v>
      </c>
    </row>
    <row r="80" spans="1:2" x14ac:dyDescent="0.25">
      <c r="A80" s="16" t="s">
        <v>427</v>
      </c>
      <c r="B80" s="16">
        <v>10</v>
      </c>
    </row>
    <row r="81" spans="1:2" x14ac:dyDescent="0.25">
      <c r="A81" s="16" t="s">
        <v>930</v>
      </c>
      <c r="B81" s="16">
        <v>9</v>
      </c>
    </row>
    <row r="82" spans="1:2" x14ac:dyDescent="0.25">
      <c r="A82" s="16" t="s">
        <v>168</v>
      </c>
      <c r="B82" s="16">
        <v>6</v>
      </c>
    </row>
    <row r="83" spans="1:2" x14ac:dyDescent="0.25">
      <c r="A83" s="16" t="s">
        <v>662</v>
      </c>
      <c r="B83" s="16">
        <v>6</v>
      </c>
    </row>
    <row r="84" spans="1:2" x14ac:dyDescent="0.25">
      <c r="A84" s="16" t="s">
        <v>676</v>
      </c>
      <c r="B84" s="16">
        <v>4</v>
      </c>
    </row>
    <row r="85" spans="1:2" x14ac:dyDescent="0.25">
      <c r="A85" s="16" t="s">
        <v>733</v>
      </c>
      <c r="B85" s="16">
        <v>4</v>
      </c>
    </row>
    <row r="86" spans="1:2" x14ac:dyDescent="0.25">
      <c r="A86" s="16" t="s">
        <v>163</v>
      </c>
      <c r="B86" s="16">
        <v>3</v>
      </c>
    </row>
    <row r="87" spans="1:2" x14ac:dyDescent="0.25">
      <c r="A87" s="16" t="s">
        <v>564</v>
      </c>
      <c r="B87" s="16">
        <v>3</v>
      </c>
    </row>
    <row r="88" spans="1:2" x14ac:dyDescent="0.25">
      <c r="A88" s="16" t="s">
        <v>843</v>
      </c>
      <c r="B88" s="16">
        <v>2</v>
      </c>
    </row>
    <row r="89" spans="1:2" x14ac:dyDescent="0.25">
      <c r="A89" s="16" t="s">
        <v>219</v>
      </c>
      <c r="B89" s="16">
        <v>2</v>
      </c>
    </row>
    <row r="90" spans="1:2" x14ac:dyDescent="0.25">
      <c r="A90" s="16" t="s">
        <v>604</v>
      </c>
      <c r="B90" s="16">
        <v>2</v>
      </c>
    </row>
    <row r="91" spans="1:2" x14ac:dyDescent="0.25">
      <c r="A91" s="16" t="s">
        <v>495</v>
      </c>
      <c r="B91" s="16">
        <v>2</v>
      </c>
    </row>
    <row r="92" spans="1:2" x14ac:dyDescent="0.25">
      <c r="A92" s="16" t="s">
        <v>839</v>
      </c>
      <c r="B92" s="16">
        <v>1</v>
      </c>
    </row>
    <row r="93" spans="1:2" x14ac:dyDescent="0.25">
      <c r="A93" s="16" t="s">
        <v>940</v>
      </c>
      <c r="B93" s="16">
        <v>1</v>
      </c>
    </row>
    <row r="94" spans="1:2" x14ac:dyDescent="0.25">
      <c r="A94" s="16" t="s">
        <v>831</v>
      </c>
      <c r="B94" s="16">
        <v>1</v>
      </c>
    </row>
    <row r="95" spans="1:2" x14ac:dyDescent="0.25">
      <c r="A95" s="16" t="s">
        <v>460</v>
      </c>
      <c r="B95" s="16">
        <v>1</v>
      </c>
    </row>
    <row r="96" spans="1:2" x14ac:dyDescent="0.25">
      <c r="A96" s="16" t="s">
        <v>487</v>
      </c>
      <c r="B96" s="16">
        <v>1</v>
      </c>
    </row>
    <row r="97" spans="1:2" x14ac:dyDescent="0.25">
      <c r="A97" s="16" t="s">
        <v>419</v>
      </c>
      <c r="B97" s="16">
        <v>1</v>
      </c>
    </row>
    <row r="98" spans="1:2" x14ac:dyDescent="0.25">
      <c r="A98" s="40" t="s">
        <v>966</v>
      </c>
      <c r="B98" s="41">
        <v>898</v>
      </c>
    </row>
    <row r="99" spans="1:2" x14ac:dyDescent="0.25">
      <c r="A99" s="42"/>
    </row>
    <row r="100" spans="1:2" ht="15.75" thickBot="1" x14ac:dyDescent="0.3">
      <c r="A100" s="42"/>
    </row>
    <row r="101" spans="1:2" x14ac:dyDescent="0.25">
      <c r="A101" s="54" t="s">
        <v>1012</v>
      </c>
      <c r="B101" s="55"/>
    </row>
    <row r="102" spans="1:2" x14ac:dyDescent="0.25">
      <c r="A102" s="39" t="s">
        <v>1008</v>
      </c>
      <c r="B102" s="39" t="s">
        <v>1009</v>
      </c>
    </row>
    <row r="103" spans="1:2" x14ac:dyDescent="0.25">
      <c r="A103" s="16" t="s">
        <v>642</v>
      </c>
      <c r="B103" s="16">
        <v>94</v>
      </c>
    </row>
    <row r="104" spans="1:2" x14ac:dyDescent="0.25">
      <c r="A104" s="16" t="s">
        <v>847</v>
      </c>
      <c r="B104" s="16">
        <v>78</v>
      </c>
    </row>
    <row r="105" spans="1:2" x14ac:dyDescent="0.25">
      <c r="A105" s="16" t="s">
        <v>55</v>
      </c>
      <c r="B105" s="16">
        <v>70</v>
      </c>
    </row>
    <row r="106" spans="1:2" x14ac:dyDescent="0.25">
      <c r="A106" s="16" t="s">
        <v>353</v>
      </c>
      <c r="B106" s="16">
        <v>56</v>
      </c>
    </row>
    <row r="107" spans="1:2" x14ac:dyDescent="0.25">
      <c r="A107" s="16" t="s">
        <v>672</v>
      </c>
      <c r="B107" s="16">
        <v>47</v>
      </c>
    </row>
    <row r="108" spans="1:2" x14ac:dyDescent="0.25">
      <c r="A108" s="16" t="s">
        <v>292</v>
      </c>
      <c r="B108" s="16">
        <v>43</v>
      </c>
    </row>
    <row r="109" spans="1:2" x14ac:dyDescent="0.25">
      <c r="A109" s="16" t="s">
        <v>139</v>
      </c>
      <c r="B109" s="16">
        <v>35</v>
      </c>
    </row>
    <row r="110" spans="1:2" x14ac:dyDescent="0.25">
      <c r="A110" s="16" t="s">
        <v>679</v>
      </c>
      <c r="B110" s="16">
        <v>34</v>
      </c>
    </row>
    <row r="111" spans="1:2" x14ac:dyDescent="0.25">
      <c r="A111" s="16" t="s">
        <v>336</v>
      </c>
      <c r="B111" s="16">
        <v>33</v>
      </c>
    </row>
    <row r="112" spans="1:2" x14ac:dyDescent="0.25">
      <c r="A112" s="16" t="s">
        <v>207</v>
      </c>
      <c r="B112" s="16">
        <v>32</v>
      </c>
    </row>
    <row r="113" spans="1:2" x14ac:dyDescent="0.25">
      <c r="A113" s="16" t="s">
        <v>357</v>
      </c>
      <c r="B113" s="16">
        <v>31</v>
      </c>
    </row>
    <row r="114" spans="1:2" x14ac:dyDescent="0.25">
      <c r="A114" s="16" t="s">
        <v>387</v>
      </c>
      <c r="B114" s="16">
        <v>29</v>
      </c>
    </row>
    <row r="115" spans="1:2" x14ac:dyDescent="0.25">
      <c r="A115" s="16" t="s">
        <v>184</v>
      </c>
      <c r="B115" s="16">
        <v>28</v>
      </c>
    </row>
    <row r="116" spans="1:2" x14ac:dyDescent="0.25">
      <c r="A116" s="16" t="s">
        <v>709</v>
      </c>
      <c r="B116" s="16">
        <v>28</v>
      </c>
    </row>
    <row r="117" spans="1:2" x14ac:dyDescent="0.25">
      <c r="A117" s="16" t="s">
        <v>478</v>
      </c>
      <c r="B117" s="16">
        <v>26</v>
      </c>
    </row>
    <row r="118" spans="1:2" x14ac:dyDescent="0.25">
      <c r="A118" s="16" t="s">
        <v>427</v>
      </c>
      <c r="B118" s="16">
        <v>22</v>
      </c>
    </row>
    <row r="119" spans="1:2" x14ac:dyDescent="0.25">
      <c r="A119" s="16" t="s">
        <v>365</v>
      </c>
      <c r="B119" s="16">
        <v>21</v>
      </c>
    </row>
    <row r="120" spans="1:2" x14ac:dyDescent="0.25">
      <c r="A120" s="16" t="s">
        <v>469</v>
      </c>
      <c r="B120" s="16">
        <v>20</v>
      </c>
    </row>
    <row r="121" spans="1:2" x14ac:dyDescent="0.25">
      <c r="A121" s="16" t="s">
        <v>390</v>
      </c>
      <c r="B121" s="16">
        <v>20</v>
      </c>
    </row>
    <row r="122" spans="1:2" x14ac:dyDescent="0.25">
      <c r="A122" s="16" t="s">
        <v>640</v>
      </c>
      <c r="B122" s="16">
        <v>18</v>
      </c>
    </row>
    <row r="123" spans="1:2" x14ac:dyDescent="0.25">
      <c r="A123" s="16" t="s">
        <v>1010</v>
      </c>
      <c r="B123" s="16">
        <v>16</v>
      </c>
    </row>
    <row r="124" spans="1:2" x14ac:dyDescent="0.25">
      <c r="A124" s="16" t="s">
        <v>762</v>
      </c>
      <c r="B124" s="16">
        <v>16</v>
      </c>
    </row>
    <row r="125" spans="1:2" x14ac:dyDescent="0.25">
      <c r="A125" s="16" t="s">
        <v>344</v>
      </c>
      <c r="B125" s="16">
        <v>11</v>
      </c>
    </row>
    <row r="126" spans="1:2" x14ac:dyDescent="0.25">
      <c r="A126" s="16" t="s">
        <v>200</v>
      </c>
      <c r="B126" s="16">
        <v>11</v>
      </c>
    </row>
    <row r="127" spans="1:2" x14ac:dyDescent="0.25">
      <c r="A127" s="16" t="s">
        <v>520</v>
      </c>
      <c r="B127" s="16">
        <v>8</v>
      </c>
    </row>
    <row r="128" spans="1:2" x14ac:dyDescent="0.25">
      <c r="A128" s="16" t="s">
        <v>662</v>
      </c>
      <c r="B128" s="16">
        <v>8</v>
      </c>
    </row>
    <row r="129" spans="1:2" x14ac:dyDescent="0.25">
      <c r="A129" s="16" t="s">
        <v>676</v>
      </c>
      <c r="B129" s="16">
        <v>8</v>
      </c>
    </row>
    <row r="130" spans="1:2" x14ac:dyDescent="0.25">
      <c r="A130" s="16" t="s">
        <v>487</v>
      </c>
      <c r="B130" s="16">
        <v>8</v>
      </c>
    </row>
    <row r="131" spans="1:2" x14ac:dyDescent="0.25">
      <c r="A131" s="16" t="s">
        <v>168</v>
      </c>
      <c r="B131" s="16">
        <v>7</v>
      </c>
    </row>
    <row r="132" spans="1:2" x14ac:dyDescent="0.25">
      <c r="A132" s="16" t="s">
        <v>777</v>
      </c>
      <c r="B132" s="16">
        <v>5</v>
      </c>
    </row>
    <row r="133" spans="1:2" x14ac:dyDescent="0.25">
      <c r="A133" s="16" t="s">
        <v>940</v>
      </c>
      <c r="B133" s="16">
        <v>5</v>
      </c>
    </row>
    <row r="134" spans="1:2" x14ac:dyDescent="0.25">
      <c r="A134" s="16" t="s">
        <v>930</v>
      </c>
      <c r="B134" s="16">
        <v>5</v>
      </c>
    </row>
    <row r="135" spans="1:2" x14ac:dyDescent="0.25">
      <c r="A135" s="16" t="s">
        <v>112</v>
      </c>
      <c r="B135" s="16">
        <v>5</v>
      </c>
    </row>
    <row r="136" spans="1:2" x14ac:dyDescent="0.25">
      <c r="A136" s="16" t="s">
        <v>580</v>
      </c>
      <c r="B136" s="16">
        <v>4</v>
      </c>
    </row>
    <row r="137" spans="1:2" x14ac:dyDescent="0.25">
      <c r="A137" s="16" t="s">
        <v>843</v>
      </c>
      <c r="B137" s="16">
        <v>3</v>
      </c>
    </row>
    <row r="138" spans="1:2" x14ac:dyDescent="0.25">
      <c r="A138" s="16" t="s">
        <v>542</v>
      </c>
      <c r="B138" s="16">
        <v>2</v>
      </c>
    </row>
    <row r="139" spans="1:2" x14ac:dyDescent="0.25">
      <c r="A139" s="16" t="s">
        <v>219</v>
      </c>
      <c r="B139" s="16">
        <v>2</v>
      </c>
    </row>
    <row r="140" spans="1:2" x14ac:dyDescent="0.25">
      <c r="A140" s="16" t="s">
        <v>560</v>
      </c>
      <c r="B140" s="16">
        <v>2</v>
      </c>
    </row>
    <row r="141" spans="1:2" x14ac:dyDescent="0.25">
      <c r="A141" s="16" t="s">
        <v>831</v>
      </c>
      <c r="B141" s="16">
        <v>2</v>
      </c>
    </row>
    <row r="142" spans="1:2" x14ac:dyDescent="0.25">
      <c r="A142" s="16" t="s">
        <v>211</v>
      </c>
      <c r="B142" s="16">
        <v>2</v>
      </c>
    </row>
    <row r="143" spans="1:2" x14ac:dyDescent="0.25">
      <c r="A143" s="16" t="s">
        <v>604</v>
      </c>
      <c r="B143" s="16">
        <v>2</v>
      </c>
    </row>
    <row r="144" spans="1:2" x14ac:dyDescent="0.25">
      <c r="A144" s="16" t="s">
        <v>495</v>
      </c>
      <c r="B144" s="16">
        <v>2</v>
      </c>
    </row>
    <row r="145" spans="1:2" x14ac:dyDescent="0.25">
      <c r="A145" s="16" t="s">
        <v>460</v>
      </c>
      <c r="B145" s="16">
        <v>1</v>
      </c>
    </row>
    <row r="146" spans="1:2" x14ac:dyDescent="0.25">
      <c r="A146" s="16" t="s">
        <v>592</v>
      </c>
      <c r="B146" s="16">
        <v>1</v>
      </c>
    </row>
    <row r="147" spans="1:2" x14ac:dyDescent="0.25">
      <c r="A147" s="16" t="s">
        <v>839</v>
      </c>
      <c r="B147" s="16">
        <v>1</v>
      </c>
    </row>
    <row r="148" spans="1:2" x14ac:dyDescent="0.25">
      <c r="A148" s="16" t="s">
        <v>419</v>
      </c>
      <c r="B148" s="16">
        <v>1</v>
      </c>
    </row>
    <row r="149" spans="1:2" x14ac:dyDescent="0.25">
      <c r="A149" s="16" t="s">
        <v>455</v>
      </c>
      <c r="B149" s="16">
        <v>1</v>
      </c>
    </row>
    <row r="150" spans="1:2" x14ac:dyDescent="0.25">
      <c r="A150" s="40" t="s">
        <v>966</v>
      </c>
      <c r="B150" s="41">
        <v>904</v>
      </c>
    </row>
    <row r="151" spans="1:2" x14ac:dyDescent="0.25">
      <c r="A151" s="42"/>
    </row>
    <row r="152" spans="1:2" ht="15.75" thickBot="1" x14ac:dyDescent="0.3">
      <c r="A152" s="42"/>
    </row>
    <row r="153" spans="1:2" x14ac:dyDescent="0.25">
      <c r="A153" s="54" t="s">
        <v>1013</v>
      </c>
      <c r="B153" s="55"/>
    </row>
    <row r="154" spans="1:2" x14ac:dyDescent="0.25">
      <c r="A154" s="39" t="s">
        <v>1008</v>
      </c>
      <c r="B154" s="39" t="s">
        <v>1009</v>
      </c>
    </row>
    <row r="155" spans="1:2" x14ac:dyDescent="0.25">
      <c r="A155" s="16" t="s">
        <v>55</v>
      </c>
      <c r="B155" s="16">
        <v>76</v>
      </c>
    </row>
    <row r="156" spans="1:2" x14ac:dyDescent="0.25">
      <c r="A156" s="16" t="s">
        <v>642</v>
      </c>
      <c r="B156" s="16">
        <v>74</v>
      </c>
    </row>
    <row r="157" spans="1:2" x14ac:dyDescent="0.25">
      <c r="A157" s="16" t="s">
        <v>847</v>
      </c>
      <c r="B157" s="16">
        <v>66</v>
      </c>
    </row>
    <row r="158" spans="1:2" x14ac:dyDescent="0.25">
      <c r="A158" s="16" t="s">
        <v>353</v>
      </c>
      <c r="B158" s="16">
        <v>55</v>
      </c>
    </row>
    <row r="159" spans="1:2" x14ac:dyDescent="0.25">
      <c r="A159" s="16" t="s">
        <v>387</v>
      </c>
      <c r="B159" s="16">
        <v>50</v>
      </c>
    </row>
    <row r="160" spans="1:2" x14ac:dyDescent="0.25">
      <c r="A160" s="16" t="s">
        <v>207</v>
      </c>
      <c r="B160" s="16">
        <v>42</v>
      </c>
    </row>
    <row r="161" spans="1:2" x14ac:dyDescent="0.25">
      <c r="A161" s="16" t="s">
        <v>139</v>
      </c>
      <c r="B161" s="16">
        <v>34</v>
      </c>
    </row>
    <row r="162" spans="1:2" x14ac:dyDescent="0.25">
      <c r="A162" s="16" t="s">
        <v>709</v>
      </c>
      <c r="B162" s="16">
        <v>31</v>
      </c>
    </row>
    <row r="163" spans="1:2" x14ac:dyDescent="0.25">
      <c r="A163" s="16" t="s">
        <v>184</v>
      </c>
      <c r="B163" s="16">
        <v>31</v>
      </c>
    </row>
    <row r="164" spans="1:2" x14ac:dyDescent="0.25">
      <c r="A164" s="16" t="s">
        <v>672</v>
      </c>
      <c r="B164" s="16">
        <v>30</v>
      </c>
    </row>
    <row r="165" spans="1:2" x14ac:dyDescent="0.25">
      <c r="A165" s="16" t="s">
        <v>112</v>
      </c>
      <c r="B165" s="16">
        <v>29</v>
      </c>
    </row>
    <row r="166" spans="1:2" x14ac:dyDescent="0.25">
      <c r="A166" s="16" t="s">
        <v>357</v>
      </c>
      <c r="B166" s="16">
        <v>28</v>
      </c>
    </row>
    <row r="167" spans="1:2" x14ac:dyDescent="0.25">
      <c r="A167" s="16" t="s">
        <v>1014</v>
      </c>
      <c r="B167" s="16">
        <v>27</v>
      </c>
    </row>
    <row r="168" spans="1:2" x14ac:dyDescent="0.25">
      <c r="A168" s="16" t="s">
        <v>292</v>
      </c>
      <c r="B168" s="16">
        <v>25</v>
      </c>
    </row>
    <row r="169" spans="1:2" x14ac:dyDescent="0.25">
      <c r="A169" s="16" t="s">
        <v>336</v>
      </c>
      <c r="B169" s="16">
        <v>23</v>
      </c>
    </row>
    <row r="170" spans="1:2" x14ac:dyDescent="0.25">
      <c r="A170" s="16" t="s">
        <v>365</v>
      </c>
      <c r="B170" s="16">
        <v>21</v>
      </c>
    </row>
    <row r="171" spans="1:2" x14ac:dyDescent="0.25">
      <c r="A171" s="16" t="s">
        <v>390</v>
      </c>
      <c r="B171" s="16">
        <v>21</v>
      </c>
    </row>
    <row r="172" spans="1:2" x14ac:dyDescent="0.25">
      <c r="A172" s="16" t="s">
        <v>478</v>
      </c>
      <c r="B172" s="16">
        <v>20</v>
      </c>
    </row>
    <row r="173" spans="1:2" x14ac:dyDescent="0.25">
      <c r="A173" s="16" t="s">
        <v>1010</v>
      </c>
      <c r="B173" s="16">
        <v>17</v>
      </c>
    </row>
    <row r="174" spans="1:2" x14ac:dyDescent="0.25">
      <c r="A174" s="16" t="s">
        <v>762</v>
      </c>
      <c r="B174" s="16">
        <v>16</v>
      </c>
    </row>
    <row r="175" spans="1:2" x14ac:dyDescent="0.25">
      <c r="A175" s="16" t="s">
        <v>640</v>
      </c>
      <c r="B175" s="16">
        <v>15</v>
      </c>
    </row>
    <row r="176" spans="1:2" x14ac:dyDescent="0.25">
      <c r="A176" s="16" t="s">
        <v>520</v>
      </c>
      <c r="B176" s="16">
        <v>13</v>
      </c>
    </row>
    <row r="177" spans="1:2" x14ac:dyDescent="0.25">
      <c r="A177" s="16" t="s">
        <v>427</v>
      </c>
      <c r="B177" s="16">
        <v>13</v>
      </c>
    </row>
    <row r="178" spans="1:2" x14ac:dyDescent="0.25">
      <c r="A178" s="16" t="s">
        <v>469</v>
      </c>
      <c r="B178" s="16">
        <v>13</v>
      </c>
    </row>
    <row r="179" spans="1:2" x14ac:dyDescent="0.25">
      <c r="A179" s="16" t="s">
        <v>662</v>
      </c>
      <c r="B179" s="16">
        <v>12</v>
      </c>
    </row>
    <row r="180" spans="1:2" x14ac:dyDescent="0.25">
      <c r="A180" s="16" t="s">
        <v>200</v>
      </c>
      <c r="B180" s="16">
        <v>12</v>
      </c>
    </row>
    <row r="181" spans="1:2" x14ac:dyDescent="0.25">
      <c r="A181" s="16" t="s">
        <v>344</v>
      </c>
      <c r="B181" s="16">
        <v>11</v>
      </c>
    </row>
    <row r="182" spans="1:2" x14ac:dyDescent="0.25">
      <c r="A182" s="16" t="s">
        <v>168</v>
      </c>
      <c r="B182" s="16">
        <v>11</v>
      </c>
    </row>
    <row r="183" spans="1:2" x14ac:dyDescent="0.25">
      <c r="A183" s="16" t="s">
        <v>487</v>
      </c>
      <c r="B183" s="16">
        <v>8</v>
      </c>
    </row>
    <row r="184" spans="1:2" x14ac:dyDescent="0.25">
      <c r="A184" s="16" t="s">
        <v>940</v>
      </c>
      <c r="B184" s="16">
        <v>5</v>
      </c>
    </row>
    <row r="185" spans="1:2" x14ac:dyDescent="0.25">
      <c r="A185" s="16" t="s">
        <v>676</v>
      </c>
      <c r="B185" s="16">
        <v>5</v>
      </c>
    </row>
    <row r="186" spans="1:2" x14ac:dyDescent="0.25">
      <c r="A186" s="16" t="s">
        <v>580</v>
      </c>
      <c r="B186" s="16">
        <v>4</v>
      </c>
    </row>
    <row r="187" spans="1:2" x14ac:dyDescent="0.25">
      <c r="A187" s="16" t="s">
        <v>831</v>
      </c>
      <c r="B187" s="16">
        <v>4</v>
      </c>
    </row>
    <row r="188" spans="1:2" x14ac:dyDescent="0.25">
      <c r="A188" s="16" t="s">
        <v>777</v>
      </c>
      <c r="B188" s="16">
        <v>4</v>
      </c>
    </row>
    <row r="189" spans="1:2" x14ac:dyDescent="0.25">
      <c r="A189" s="16" t="s">
        <v>843</v>
      </c>
      <c r="B189" s="16">
        <v>3</v>
      </c>
    </row>
    <row r="190" spans="1:2" x14ac:dyDescent="0.25">
      <c r="A190" s="16" t="s">
        <v>930</v>
      </c>
      <c r="B190" s="16">
        <v>3</v>
      </c>
    </row>
    <row r="191" spans="1:2" x14ac:dyDescent="0.25">
      <c r="A191" s="16" t="s">
        <v>219</v>
      </c>
      <c r="B191" s="16">
        <v>2</v>
      </c>
    </row>
    <row r="192" spans="1:2" x14ac:dyDescent="0.25">
      <c r="A192" s="16" t="s">
        <v>705</v>
      </c>
      <c r="B192" s="16">
        <v>2</v>
      </c>
    </row>
    <row r="193" spans="1:2" x14ac:dyDescent="0.25">
      <c r="A193" s="16" t="s">
        <v>455</v>
      </c>
      <c r="B193" s="16">
        <v>2</v>
      </c>
    </row>
    <row r="194" spans="1:2" x14ac:dyDescent="0.25">
      <c r="A194" s="16" t="s">
        <v>839</v>
      </c>
      <c r="B194" s="16">
        <v>1</v>
      </c>
    </row>
    <row r="195" spans="1:2" x14ac:dyDescent="0.25">
      <c r="A195" s="16" t="s">
        <v>460</v>
      </c>
      <c r="B195" s="16">
        <v>1</v>
      </c>
    </row>
    <row r="196" spans="1:2" x14ac:dyDescent="0.25">
      <c r="A196" s="16" t="s">
        <v>592</v>
      </c>
      <c r="B196" s="16">
        <v>1</v>
      </c>
    </row>
    <row r="197" spans="1:2" x14ac:dyDescent="0.25">
      <c r="A197" s="16" t="s">
        <v>867</v>
      </c>
      <c r="B197" s="16">
        <v>1</v>
      </c>
    </row>
    <row r="198" spans="1:2" x14ac:dyDescent="0.25">
      <c r="A198" s="16" t="s">
        <v>542</v>
      </c>
      <c r="B198" s="16">
        <v>1</v>
      </c>
    </row>
    <row r="199" spans="1:2" x14ac:dyDescent="0.25">
      <c r="A199" s="16" t="s">
        <v>419</v>
      </c>
      <c r="B199" s="16">
        <v>1</v>
      </c>
    </row>
    <row r="200" spans="1:2" x14ac:dyDescent="0.25">
      <c r="A200" s="16" t="s">
        <v>274</v>
      </c>
      <c r="B200" s="16">
        <v>1</v>
      </c>
    </row>
    <row r="201" spans="1:2" x14ac:dyDescent="0.25">
      <c r="A201" s="16" t="s">
        <v>737</v>
      </c>
      <c r="B201" s="16">
        <v>1</v>
      </c>
    </row>
    <row r="202" spans="1:2" x14ac:dyDescent="0.25">
      <c r="A202" s="16" t="s">
        <v>754</v>
      </c>
      <c r="B202" s="16">
        <v>1</v>
      </c>
    </row>
    <row r="203" spans="1:2" x14ac:dyDescent="0.25">
      <c r="A203" s="16" t="s">
        <v>495</v>
      </c>
      <c r="B203" s="16">
        <v>1</v>
      </c>
    </row>
    <row r="204" spans="1:2" x14ac:dyDescent="0.25">
      <c r="A204" s="40" t="s">
        <v>966</v>
      </c>
      <c r="B204" s="41">
        <v>868</v>
      </c>
    </row>
    <row r="205" spans="1:2" x14ac:dyDescent="0.25">
      <c r="A205" s="42"/>
    </row>
    <row r="206" spans="1:2" ht="15.75" thickBot="1" x14ac:dyDescent="0.3"/>
    <row r="207" spans="1:2" x14ac:dyDescent="0.25">
      <c r="A207" s="54" t="s">
        <v>1015</v>
      </c>
      <c r="B207" s="55"/>
    </row>
    <row r="208" spans="1:2" x14ac:dyDescent="0.25">
      <c r="A208" s="39" t="s">
        <v>1008</v>
      </c>
      <c r="B208" s="39" t="s">
        <v>1009</v>
      </c>
    </row>
    <row r="209" spans="1:2" x14ac:dyDescent="0.25">
      <c r="A209" s="16" t="s">
        <v>642</v>
      </c>
      <c r="B209" s="16">
        <v>83</v>
      </c>
    </row>
    <row r="210" spans="1:2" x14ac:dyDescent="0.25">
      <c r="A210" s="16" t="s">
        <v>55</v>
      </c>
      <c r="B210" s="16">
        <v>72</v>
      </c>
    </row>
    <row r="211" spans="1:2" x14ac:dyDescent="0.25">
      <c r="A211" s="16" t="s">
        <v>847</v>
      </c>
      <c r="B211" s="16">
        <v>72</v>
      </c>
    </row>
    <row r="212" spans="1:2" x14ac:dyDescent="0.25">
      <c r="A212" s="16" t="s">
        <v>353</v>
      </c>
      <c r="B212" s="16">
        <v>59</v>
      </c>
    </row>
    <row r="213" spans="1:2" x14ac:dyDescent="0.25">
      <c r="A213" s="16" t="s">
        <v>357</v>
      </c>
      <c r="B213" s="16">
        <v>44</v>
      </c>
    </row>
    <row r="214" spans="1:2" x14ac:dyDescent="0.25">
      <c r="A214" s="16" t="s">
        <v>207</v>
      </c>
      <c r="B214" s="16">
        <v>38</v>
      </c>
    </row>
    <row r="215" spans="1:2" x14ac:dyDescent="0.25">
      <c r="A215" s="16" t="s">
        <v>387</v>
      </c>
      <c r="B215" s="16">
        <v>35</v>
      </c>
    </row>
    <row r="216" spans="1:2" x14ac:dyDescent="0.25">
      <c r="A216" s="16" t="s">
        <v>709</v>
      </c>
      <c r="B216" s="16">
        <v>27</v>
      </c>
    </row>
    <row r="217" spans="1:2" x14ac:dyDescent="0.25">
      <c r="A217" s="16" t="s">
        <v>292</v>
      </c>
      <c r="B217" s="16">
        <v>27</v>
      </c>
    </row>
    <row r="218" spans="1:2" x14ac:dyDescent="0.25">
      <c r="A218" s="16" t="s">
        <v>390</v>
      </c>
      <c r="B218" s="16">
        <v>27</v>
      </c>
    </row>
    <row r="219" spans="1:2" x14ac:dyDescent="0.25">
      <c r="A219" s="16" t="s">
        <v>184</v>
      </c>
      <c r="B219" s="16">
        <v>27</v>
      </c>
    </row>
    <row r="220" spans="1:2" x14ac:dyDescent="0.25">
      <c r="A220" s="16" t="s">
        <v>672</v>
      </c>
      <c r="B220" s="16">
        <v>25</v>
      </c>
    </row>
    <row r="221" spans="1:2" x14ac:dyDescent="0.25">
      <c r="A221" s="16" t="s">
        <v>200</v>
      </c>
      <c r="B221" s="16">
        <v>24</v>
      </c>
    </row>
    <row r="222" spans="1:2" x14ac:dyDescent="0.25">
      <c r="A222" s="16" t="s">
        <v>336</v>
      </c>
      <c r="B222" s="16">
        <v>24</v>
      </c>
    </row>
    <row r="223" spans="1:2" x14ac:dyDescent="0.25">
      <c r="A223" s="16" t="s">
        <v>112</v>
      </c>
      <c r="B223" s="16">
        <v>24</v>
      </c>
    </row>
    <row r="224" spans="1:2" x14ac:dyDescent="0.25">
      <c r="A224" s="16" t="s">
        <v>139</v>
      </c>
      <c r="B224" s="16">
        <v>23</v>
      </c>
    </row>
    <row r="225" spans="1:2" x14ac:dyDescent="0.25">
      <c r="A225" s="16" t="s">
        <v>469</v>
      </c>
      <c r="B225" s="16">
        <v>21</v>
      </c>
    </row>
    <row r="226" spans="1:2" x14ac:dyDescent="0.25">
      <c r="A226" s="16" t="s">
        <v>365</v>
      </c>
      <c r="B226" s="16">
        <v>20</v>
      </c>
    </row>
    <row r="227" spans="1:2" x14ac:dyDescent="0.25">
      <c r="A227" s="16" t="s">
        <v>762</v>
      </c>
      <c r="B227" s="16">
        <v>18</v>
      </c>
    </row>
    <row r="228" spans="1:2" x14ac:dyDescent="0.25">
      <c r="A228" s="16" t="s">
        <v>1014</v>
      </c>
      <c r="B228" s="16">
        <v>17</v>
      </c>
    </row>
    <row r="229" spans="1:2" x14ac:dyDescent="0.25">
      <c r="A229" s="16" t="s">
        <v>520</v>
      </c>
      <c r="B229" s="16">
        <v>14</v>
      </c>
    </row>
    <row r="230" spans="1:2" x14ac:dyDescent="0.25">
      <c r="A230" s="16" t="s">
        <v>640</v>
      </c>
      <c r="B230" s="16">
        <v>13</v>
      </c>
    </row>
    <row r="231" spans="1:2" x14ac:dyDescent="0.25">
      <c r="A231" s="16" t="s">
        <v>478</v>
      </c>
      <c r="B231" s="16">
        <v>12</v>
      </c>
    </row>
    <row r="232" spans="1:2" x14ac:dyDescent="0.25">
      <c r="A232" s="16" t="s">
        <v>168</v>
      </c>
      <c r="B232" s="16">
        <v>12</v>
      </c>
    </row>
    <row r="233" spans="1:2" x14ac:dyDescent="0.25">
      <c r="A233" s="16" t="s">
        <v>1010</v>
      </c>
      <c r="B233" s="16">
        <v>10</v>
      </c>
    </row>
    <row r="234" spans="1:2" x14ac:dyDescent="0.25">
      <c r="A234" s="16" t="s">
        <v>662</v>
      </c>
      <c r="B234" s="16">
        <v>8</v>
      </c>
    </row>
    <row r="235" spans="1:2" x14ac:dyDescent="0.25">
      <c r="A235" s="16" t="s">
        <v>487</v>
      </c>
      <c r="B235" s="16">
        <v>8</v>
      </c>
    </row>
    <row r="236" spans="1:2" x14ac:dyDescent="0.25">
      <c r="A236" s="16" t="s">
        <v>344</v>
      </c>
      <c r="B236" s="16">
        <v>7</v>
      </c>
    </row>
    <row r="237" spans="1:2" x14ac:dyDescent="0.25">
      <c r="A237" s="16" t="s">
        <v>676</v>
      </c>
      <c r="B237" s="16">
        <v>5</v>
      </c>
    </row>
    <row r="238" spans="1:2" x14ac:dyDescent="0.25">
      <c r="A238" s="16" t="s">
        <v>831</v>
      </c>
      <c r="B238" s="16">
        <v>5</v>
      </c>
    </row>
    <row r="239" spans="1:2" x14ac:dyDescent="0.25">
      <c r="A239" s="16" t="s">
        <v>940</v>
      </c>
      <c r="B239" s="16">
        <v>5</v>
      </c>
    </row>
    <row r="240" spans="1:2" x14ac:dyDescent="0.25">
      <c r="A240" s="16" t="s">
        <v>580</v>
      </c>
      <c r="B240" s="16">
        <v>4</v>
      </c>
    </row>
    <row r="241" spans="1:2" x14ac:dyDescent="0.25">
      <c r="A241" s="16" t="s">
        <v>930</v>
      </c>
      <c r="B241" s="16">
        <v>4</v>
      </c>
    </row>
    <row r="242" spans="1:2" x14ac:dyDescent="0.25">
      <c r="A242" s="16" t="s">
        <v>843</v>
      </c>
      <c r="B242" s="16">
        <v>3</v>
      </c>
    </row>
    <row r="243" spans="1:2" x14ac:dyDescent="0.25">
      <c r="A243" s="16" t="s">
        <v>777</v>
      </c>
      <c r="B243" s="16">
        <v>2</v>
      </c>
    </row>
    <row r="244" spans="1:2" x14ac:dyDescent="0.25">
      <c r="A244" s="16" t="s">
        <v>219</v>
      </c>
      <c r="B244" s="16">
        <v>2</v>
      </c>
    </row>
    <row r="245" spans="1:2" x14ac:dyDescent="0.25">
      <c r="A245" s="16" t="s">
        <v>705</v>
      </c>
      <c r="B245" s="16">
        <v>2</v>
      </c>
    </row>
    <row r="246" spans="1:2" x14ac:dyDescent="0.25">
      <c r="A246" s="16" t="s">
        <v>867</v>
      </c>
      <c r="B246" s="16">
        <v>2</v>
      </c>
    </row>
    <row r="247" spans="1:2" x14ac:dyDescent="0.25">
      <c r="A247" s="16" t="s">
        <v>427</v>
      </c>
      <c r="B247" s="16">
        <v>2</v>
      </c>
    </row>
    <row r="248" spans="1:2" x14ac:dyDescent="0.25">
      <c r="A248" s="16" t="s">
        <v>542</v>
      </c>
      <c r="B248" s="16">
        <v>2</v>
      </c>
    </row>
    <row r="249" spans="1:2" x14ac:dyDescent="0.25">
      <c r="A249" s="16" t="s">
        <v>592</v>
      </c>
      <c r="B249" s="16">
        <v>1</v>
      </c>
    </row>
    <row r="250" spans="1:2" x14ac:dyDescent="0.25">
      <c r="A250" s="16" t="s">
        <v>419</v>
      </c>
      <c r="B250" s="16">
        <v>1</v>
      </c>
    </row>
    <row r="251" spans="1:2" x14ac:dyDescent="0.25">
      <c r="A251" s="16" t="s">
        <v>460</v>
      </c>
      <c r="B251" s="16">
        <v>1</v>
      </c>
    </row>
    <row r="252" spans="1:2" x14ac:dyDescent="0.25">
      <c r="A252" s="16" t="s">
        <v>274</v>
      </c>
      <c r="B252" s="16">
        <v>1</v>
      </c>
    </row>
    <row r="253" spans="1:2" x14ac:dyDescent="0.25">
      <c r="A253" s="16" t="s">
        <v>737</v>
      </c>
      <c r="B253" s="16">
        <v>1</v>
      </c>
    </row>
    <row r="254" spans="1:2" x14ac:dyDescent="0.25">
      <c r="A254" s="16" t="s">
        <v>754</v>
      </c>
      <c r="B254" s="16">
        <v>1</v>
      </c>
    </row>
    <row r="255" spans="1:2" x14ac:dyDescent="0.25">
      <c r="A255" s="40" t="s">
        <v>966</v>
      </c>
      <c r="B255" s="41">
        <v>835</v>
      </c>
    </row>
    <row r="256" spans="1:2" x14ac:dyDescent="0.25">
      <c r="A256" s="42"/>
    </row>
    <row r="257" spans="1:2" ht="15.75" thickBot="1" x14ac:dyDescent="0.3">
      <c r="A257" s="42"/>
    </row>
    <row r="258" spans="1:2" x14ac:dyDescent="0.25">
      <c r="A258" s="54" t="s">
        <v>1016</v>
      </c>
      <c r="B258" s="55"/>
    </row>
    <row r="259" spans="1:2" x14ac:dyDescent="0.25">
      <c r="A259" s="39" t="s">
        <v>1008</v>
      </c>
      <c r="B259" s="39" t="s">
        <v>1009</v>
      </c>
    </row>
    <row r="260" spans="1:2" x14ac:dyDescent="0.25">
      <c r="A260" s="16" t="s">
        <v>847</v>
      </c>
      <c r="B260" s="16">
        <v>118</v>
      </c>
    </row>
    <row r="261" spans="1:2" x14ac:dyDescent="0.25">
      <c r="A261" s="16" t="s">
        <v>55</v>
      </c>
      <c r="B261" s="16">
        <v>74</v>
      </c>
    </row>
    <row r="262" spans="1:2" x14ac:dyDescent="0.25">
      <c r="A262" s="16" t="s">
        <v>357</v>
      </c>
      <c r="B262" s="16">
        <v>72</v>
      </c>
    </row>
    <row r="263" spans="1:2" x14ac:dyDescent="0.25">
      <c r="A263" s="16" t="s">
        <v>642</v>
      </c>
      <c r="B263" s="16">
        <v>68</v>
      </c>
    </row>
    <row r="264" spans="1:2" x14ac:dyDescent="0.25">
      <c r="A264" s="16" t="s">
        <v>353</v>
      </c>
      <c r="B264" s="16">
        <v>56</v>
      </c>
    </row>
    <row r="265" spans="1:2" x14ac:dyDescent="0.25">
      <c r="A265" s="16" t="s">
        <v>207</v>
      </c>
      <c r="B265" s="16">
        <v>36</v>
      </c>
    </row>
    <row r="266" spans="1:2" x14ac:dyDescent="0.25">
      <c r="A266" s="16" t="s">
        <v>640</v>
      </c>
      <c r="B266" s="16">
        <v>34</v>
      </c>
    </row>
    <row r="267" spans="1:2" x14ac:dyDescent="0.25">
      <c r="A267" s="16" t="s">
        <v>292</v>
      </c>
      <c r="B267" s="16">
        <v>34</v>
      </c>
    </row>
    <row r="268" spans="1:2" x14ac:dyDescent="0.25">
      <c r="A268" s="16" t="s">
        <v>336</v>
      </c>
      <c r="B268" s="16">
        <v>29</v>
      </c>
    </row>
    <row r="269" spans="1:2" x14ac:dyDescent="0.25">
      <c r="A269" s="16" t="s">
        <v>139</v>
      </c>
      <c r="B269" s="16">
        <v>28</v>
      </c>
    </row>
    <row r="270" spans="1:2" x14ac:dyDescent="0.25">
      <c r="A270" s="16" t="s">
        <v>387</v>
      </c>
      <c r="B270" s="16">
        <v>28</v>
      </c>
    </row>
    <row r="271" spans="1:2" x14ac:dyDescent="0.25">
      <c r="A271" s="16" t="s">
        <v>390</v>
      </c>
      <c r="B271" s="16">
        <v>24</v>
      </c>
    </row>
    <row r="272" spans="1:2" x14ac:dyDescent="0.25">
      <c r="A272" s="16" t="s">
        <v>184</v>
      </c>
      <c r="B272" s="16">
        <v>23</v>
      </c>
    </row>
    <row r="273" spans="1:2" x14ac:dyDescent="0.25">
      <c r="A273" s="16" t="s">
        <v>469</v>
      </c>
      <c r="B273" s="16">
        <v>23</v>
      </c>
    </row>
    <row r="274" spans="1:2" x14ac:dyDescent="0.25">
      <c r="A274" s="16" t="s">
        <v>745</v>
      </c>
      <c r="B274" s="16">
        <v>19</v>
      </c>
    </row>
    <row r="275" spans="1:2" x14ac:dyDescent="0.25">
      <c r="A275" s="16" t="s">
        <v>520</v>
      </c>
      <c r="B275" s="16">
        <v>19</v>
      </c>
    </row>
    <row r="276" spans="1:2" x14ac:dyDescent="0.25">
      <c r="A276" s="16" t="s">
        <v>762</v>
      </c>
      <c r="B276" s="16">
        <v>18</v>
      </c>
    </row>
    <row r="277" spans="1:2" x14ac:dyDescent="0.25">
      <c r="A277" s="16" t="s">
        <v>112</v>
      </c>
      <c r="B277" s="16">
        <v>18</v>
      </c>
    </row>
    <row r="278" spans="1:2" x14ac:dyDescent="0.25">
      <c r="A278" s="16" t="s">
        <v>168</v>
      </c>
      <c r="B278" s="16">
        <v>17</v>
      </c>
    </row>
    <row r="279" spans="1:2" x14ac:dyDescent="0.25">
      <c r="A279" s="16" t="s">
        <v>1014</v>
      </c>
      <c r="B279" s="16">
        <v>17</v>
      </c>
    </row>
    <row r="280" spans="1:2" x14ac:dyDescent="0.25">
      <c r="A280" s="16" t="s">
        <v>365</v>
      </c>
      <c r="B280" s="16">
        <v>15</v>
      </c>
    </row>
    <row r="281" spans="1:2" x14ac:dyDescent="0.25">
      <c r="A281" s="16" t="s">
        <v>672</v>
      </c>
      <c r="B281" s="16">
        <v>14</v>
      </c>
    </row>
    <row r="282" spans="1:2" x14ac:dyDescent="0.25">
      <c r="A282" s="16" t="s">
        <v>1010</v>
      </c>
      <c r="B282" s="16">
        <v>12</v>
      </c>
    </row>
    <row r="283" spans="1:2" x14ac:dyDescent="0.25">
      <c r="A283" s="16" t="s">
        <v>200</v>
      </c>
      <c r="B283" s="16">
        <v>10</v>
      </c>
    </row>
    <row r="284" spans="1:2" x14ac:dyDescent="0.25">
      <c r="A284" s="16" t="s">
        <v>487</v>
      </c>
      <c r="B284" s="16">
        <v>9</v>
      </c>
    </row>
    <row r="285" spans="1:2" x14ac:dyDescent="0.25">
      <c r="A285" s="16" t="s">
        <v>478</v>
      </c>
      <c r="B285" s="16">
        <v>8</v>
      </c>
    </row>
    <row r="286" spans="1:2" x14ac:dyDescent="0.25">
      <c r="A286" s="16" t="s">
        <v>777</v>
      </c>
      <c r="B286" s="16">
        <v>6</v>
      </c>
    </row>
    <row r="287" spans="1:2" x14ac:dyDescent="0.25">
      <c r="A287" s="16" t="s">
        <v>930</v>
      </c>
      <c r="B287" s="16">
        <v>6</v>
      </c>
    </row>
    <row r="288" spans="1:2" x14ac:dyDescent="0.25">
      <c r="A288" s="16" t="s">
        <v>831</v>
      </c>
      <c r="B288" s="16">
        <v>5</v>
      </c>
    </row>
    <row r="289" spans="1:2" x14ac:dyDescent="0.25">
      <c r="A289" s="16" t="s">
        <v>940</v>
      </c>
      <c r="B289" s="16">
        <v>5</v>
      </c>
    </row>
    <row r="290" spans="1:2" x14ac:dyDescent="0.25">
      <c r="A290" s="16" t="s">
        <v>843</v>
      </c>
      <c r="B290" s="16">
        <v>5</v>
      </c>
    </row>
    <row r="291" spans="1:2" x14ac:dyDescent="0.25">
      <c r="A291" s="16" t="s">
        <v>344</v>
      </c>
      <c r="B291" s="16">
        <v>4</v>
      </c>
    </row>
    <row r="292" spans="1:2" x14ac:dyDescent="0.25">
      <c r="A292" s="16" t="s">
        <v>676</v>
      </c>
      <c r="B292" s="16">
        <v>4</v>
      </c>
    </row>
    <row r="293" spans="1:2" x14ac:dyDescent="0.25">
      <c r="A293" s="16" t="s">
        <v>737</v>
      </c>
      <c r="B293" s="16">
        <v>4</v>
      </c>
    </row>
    <row r="294" spans="1:2" x14ac:dyDescent="0.25">
      <c r="A294" s="16" t="s">
        <v>163</v>
      </c>
      <c r="B294" s="16">
        <v>3</v>
      </c>
    </row>
    <row r="295" spans="1:2" x14ac:dyDescent="0.25">
      <c r="A295" s="16" t="s">
        <v>867</v>
      </c>
      <c r="B295" s="16">
        <v>3</v>
      </c>
    </row>
    <row r="296" spans="1:2" x14ac:dyDescent="0.25">
      <c r="A296" s="16" t="s">
        <v>224</v>
      </c>
      <c r="B296" s="16">
        <v>2</v>
      </c>
    </row>
    <row r="297" spans="1:2" x14ac:dyDescent="0.25">
      <c r="A297" s="16" t="s">
        <v>542</v>
      </c>
      <c r="B297" s="16">
        <v>2</v>
      </c>
    </row>
    <row r="298" spans="1:2" x14ac:dyDescent="0.25">
      <c r="A298" s="16" t="s">
        <v>219</v>
      </c>
      <c r="B298" s="16">
        <v>2</v>
      </c>
    </row>
    <row r="299" spans="1:2" x14ac:dyDescent="0.25">
      <c r="A299" s="16" t="s">
        <v>705</v>
      </c>
      <c r="B299" s="16">
        <v>2</v>
      </c>
    </row>
    <row r="300" spans="1:2" x14ac:dyDescent="0.25">
      <c r="A300" s="16" t="s">
        <v>427</v>
      </c>
      <c r="B300" s="16">
        <v>2</v>
      </c>
    </row>
    <row r="301" spans="1:2" x14ac:dyDescent="0.25">
      <c r="A301" s="16" t="s">
        <v>709</v>
      </c>
      <c r="B301" s="16">
        <v>2</v>
      </c>
    </row>
    <row r="302" spans="1:2" x14ac:dyDescent="0.25">
      <c r="A302" s="16" t="s">
        <v>495</v>
      </c>
      <c r="B302" s="16">
        <v>2</v>
      </c>
    </row>
    <row r="303" spans="1:2" x14ac:dyDescent="0.25">
      <c r="A303" s="16" t="s">
        <v>754</v>
      </c>
      <c r="B303" s="16">
        <v>1</v>
      </c>
    </row>
    <row r="304" spans="1:2" x14ac:dyDescent="0.25">
      <c r="A304" s="16" t="s">
        <v>274</v>
      </c>
      <c r="B304" s="16">
        <v>1</v>
      </c>
    </row>
    <row r="305" spans="1:2" x14ac:dyDescent="0.25">
      <c r="A305" s="16" t="s">
        <v>1017</v>
      </c>
      <c r="B305" s="16">
        <v>1</v>
      </c>
    </row>
    <row r="306" spans="1:2" x14ac:dyDescent="0.25">
      <c r="A306" s="16" t="s">
        <v>604</v>
      </c>
      <c r="B306" s="16">
        <v>1</v>
      </c>
    </row>
    <row r="307" spans="1:2" x14ac:dyDescent="0.25">
      <c r="A307" s="16" t="s">
        <v>68</v>
      </c>
      <c r="B307" s="16">
        <v>1</v>
      </c>
    </row>
    <row r="308" spans="1:2" x14ac:dyDescent="0.25">
      <c r="A308" s="16" t="s">
        <v>419</v>
      </c>
      <c r="B308" s="16">
        <v>1</v>
      </c>
    </row>
    <row r="309" spans="1:2" x14ac:dyDescent="0.25">
      <c r="A309" s="16" t="s">
        <v>733</v>
      </c>
      <c r="B309" s="16">
        <v>1</v>
      </c>
    </row>
    <row r="310" spans="1:2" x14ac:dyDescent="0.25">
      <c r="A310" s="40" t="s">
        <v>966</v>
      </c>
      <c r="B310" s="41">
        <v>889</v>
      </c>
    </row>
    <row r="311" spans="1:2" x14ac:dyDescent="0.25">
      <c r="A311" s="42"/>
    </row>
    <row r="312" spans="1:2" ht="15.75" thickBot="1" x14ac:dyDescent="0.3"/>
    <row r="313" spans="1:2" x14ac:dyDescent="0.25">
      <c r="A313" s="151" t="s">
        <v>1018</v>
      </c>
      <c r="B313" s="152"/>
    </row>
    <row r="314" spans="1:2" x14ac:dyDescent="0.25">
      <c r="A314" s="39" t="s">
        <v>1008</v>
      </c>
      <c r="B314" s="39" t="s">
        <v>1009</v>
      </c>
    </row>
    <row r="315" spans="1:2" x14ac:dyDescent="0.25">
      <c r="A315" s="16" t="s">
        <v>847</v>
      </c>
      <c r="B315" s="16">
        <v>109</v>
      </c>
    </row>
    <row r="316" spans="1:2" x14ac:dyDescent="0.25">
      <c r="A316" s="16" t="s">
        <v>642</v>
      </c>
      <c r="B316" s="16">
        <v>105</v>
      </c>
    </row>
    <row r="317" spans="1:2" x14ac:dyDescent="0.25">
      <c r="A317" s="16" t="s">
        <v>292</v>
      </c>
      <c r="B317" s="16">
        <v>91</v>
      </c>
    </row>
    <row r="318" spans="1:2" x14ac:dyDescent="0.25">
      <c r="A318" s="16" t="s">
        <v>55</v>
      </c>
      <c r="B318" s="16">
        <v>90</v>
      </c>
    </row>
    <row r="319" spans="1:2" x14ac:dyDescent="0.25">
      <c r="A319" s="16" t="s">
        <v>353</v>
      </c>
      <c r="B319" s="16">
        <v>51</v>
      </c>
    </row>
    <row r="320" spans="1:2" x14ac:dyDescent="0.25">
      <c r="A320" s="16" t="s">
        <v>640</v>
      </c>
      <c r="B320" s="16">
        <v>46</v>
      </c>
    </row>
    <row r="321" spans="1:2" x14ac:dyDescent="0.25">
      <c r="A321" s="16" t="s">
        <v>387</v>
      </c>
      <c r="B321" s="16">
        <v>41</v>
      </c>
    </row>
    <row r="322" spans="1:2" x14ac:dyDescent="0.25">
      <c r="A322" s="16" t="s">
        <v>184</v>
      </c>
      <c r="B322" s="16">
        <v>37</v>
      </c>
    </row>
    <row r="323" spans="1:2" x14ac:dyDescent="0.25">
      <c r="A323" s="16" t="s">
        <v>390</v>
      </c>
      <c r="B323" s="16">
        <v>30</v>
      </c>
    </row>
    <row r="324" spans="1:2" x14ac:dyDescent="0.25">
      <c r="A324" s="16" t="s">
        <v>336</v>
      </c>
      <c r="B324" s="16">
        <v>30</v>
      </c>
    </row>
    <row r="325" spans="1:2" x14ac:dyDescent="0.25">
      <c r="A325" s="16" t="s">
        <v>139</v>
      </c>
      <c r="B325" s="16">
        <v>27</v>
      </c>
    </row>
    <row r="326" spans="1:2" x14ac:dyDescent="0.25">
      <c r="A326" s="16" t="s">
        <v>207</v>
      </c>
      <c r="B326" s="16">
        <v>26</v>
      </c>
    </row>
    <row r="327" spans="1:2" x14ac:dyDescent="0.25">
      <c r="A327" s="16" t="s">
        <v>520</v>
      </c>
      <c r="B327" s="16">
        <v>20</v>
      </c>
    </row>
    <row r="328" spans="1:2" x14ac:dyDescent="0.25">
      <c r="A328" s="16" t="s">
        <v>762</v>
      </c>
      <c r="B328" s="16">
        <v>20</v>
      </c>
    </row>
    <row r="329" spans="1:2" x14ac:dyDescent="0.25">
      <c r="A329" s="16" t="s">
        <v>365</v>
      </c>
      <c r="B329" s="16">
        <v>19</v>
      </c>
    </row>
    <row r="330" spans="1:2" x14ac:dyDescent="0.25">
      <c r="A330" s="16" t="s">
        <v>168</v>
      </c>
      <c r="B330" s="16">
        <v>19</v>
      </c>
    </row>
    <row r="331" spans="1:2" x14ac:dyDescent="0.25">
      <c r="A331" s="16" t="s">
        <v>357</v>
      </c>
      <c r="B331" s="16">
        <v>19</v>
      </c>
    </row>
    <row r="332" spans="1:2" x14ac:dyDescent="0.25">
      <c r="A332" s="16" t="s">
        <v>112</v>
      </c>
      <c r="B332" s="16">
        <v>17</v>
      </c>
    </row>
    <row r="333" spans="1:2" x14ac:dyDescent="0.25">
      <c r="A333" s="16" t="s">
        <v>1014</v>
      </c>
      <c r="B333" s="16">
        <v>17</v>
      </c>
    </row>
    <row r="334" spans="1:2" x14ac:dyDescent="0.25">
      <c r="A334" s="16" t="s">
        <v>709</v>
      </c>
      <c r="B334" s="16">
        <v>16</v>
      </c>
    </row>
    <row r="335" spans="1:2" x14ac:dyDescent="0.25">
      <c r="A335" s="16" t="s">
        <v>469</v>
      </c>
      <c r="B335" s="16">
        <v>13</v>
      </c>
    </row>
    <row r="336" spans="1:2" x14ac:dyDescent="0.25">
      <c r="A336" s="16" t="s">
        <v>200</v>
      </c>
      <c r="B336" s="16">
        <v>12</v>
      </c>
    </row>
    <row r="337" spans="1:2" x14ac:dyDescent="0.25">
      <c r="A337" s="16" t="s">
        <v>737</v>
      </c>
      <c r="B337" s="16">
        <v>9</v>
      </c>
    </row>
    <row r="338" spans="1:2" x14ac:dyDescent="0.25">
      <c r="A338" s="16" t="s">
        <v>487</v>
      </c>
      <c r="B338" s="16">
        <v>9</v>
      </c>
    </row>
    <row r="339" spans="1:2" x14ac:dyDescent="0.25">
      <c r="A339" s="16" t="s">
        <v>478</v>
      </c>
      <c r="B339" s="16">
        <v>8</v>
      </c>
    </row>
    <row r="340" spans="1:2" x14ac:dyDescent="0.25">
      <c r="A340" s="16" t="s">
        <v>831</v>
      </c>
      <c r="B340" s="16">
        <v>7</v>
      </c>
    </row>
    <row r="341" spans="1:2" x14ac:dyDescent="0.25">
      <c r="A341" s="16" t="s">
        <v>930</v>
      </c>
      <c r="B341" s="16">
        <v>6</v>
      </c>
    </row>
    <row r="342" spans="1:2" x14ac:dyDescent="0.25">
      <c r="A342" s="16" t="s">
        <v>777</v>
      </c>
      <c r="B342" s="16">
        <v>5</v>
      </c>
    </row>
    <row r="343" spans="1:2" x14ac:dyDescent="0.25">
      <c r="A343" s="16" t="s">
        <v>163</v>
      </c>
      <c r="B343" s="16">
        <v>5</v>
      </c>
    </row>
    <row r="344" spans="1:2" x14ac:dyDescent="0.25">
      <c r="A344" s="16" t="s">
        <v>843</v>
      </c>
      <c r="B344" s="16">
        <v>5</v>
      </c>
    </row>
    <row r="345" spans="1:2" x14ac:dyDescent="0.25">
      <c r="A345" s="16" t="s">
        <v>940</v>
      </c>
      <c r="B345" s="16">
        <v>5</v>
      </c>
    </row>
    <row r="346" spans="1:2" x14ac:dyDescent="0.25">
      <c r="A346" s="16" t="s">
        <v>867</v>
      </c>
      <c r="B346" s="16">
        <v>3</v>
      </c>
    </row>
    <row r="347" spans="1:2" x14ac:dyDescent="0.25">
      <c r="A347" s="16" t="s">
        <v>1017</v>
      </c>
      <c r="B347" s="16">
        <v>3</v>
      </c>
    </row>
    <row r="348" spans="1:2" x14ac:dyDescent="0.25">
      <c r="A348" s="16" t="s">
        <v>1010</v>
      </c>
      <c r="B348" s="16">
        <v>3</v>
      </c>
    </row>
    <row r="349" spans="1:2" x14ac:dyDescent="0.25">
      <c r="A349" s="16" t="s">
        <v>344</v>
      </c>
      <c r="B349" s="16">
        <v>2</v>
      </c>
    </row>
    <row r="350" spans="1:2" x14ac:dyDescent="0.25">
      <c r="A350" s="16" t="s">
        <v>427</v>
      </c>
      <c r="B350" s="16">
        <v>2</v>
      </c>
    </row>
    <row r="351" spans="1:2" x14ac:dyDescent="0.25">
      <c r="A351" s="16" t="s">
        <v>219</v>
      </c>
      <c r="B351" s="16">
        <v>2</v>
      </c>
    </row>
    <row r="352" spans="1:2" x14ac:dyDescent="0.25">
      <c r="A352" s="16" t="s">
        <v>705</v>
      </c>
      <c r="B352" s="16">
        <v>2</v>
      </c>
    </row>
    <row r="353" spans="1:2" x14ac:dyDescent="0.25">
      <c r="A353" s="16" t="s">
        <v>419</v>
      </c>
      <c r="B353" s="16">
        <v>1</v>
      </c>
    </row>
    <row r="354" spans="1:2" x14ac:dyDescent="0.25">
      <c r="A354" s="16" t="s">
        <v>754</v>
      </c>
      <c r="B354" s="16">
        <v>1</v>
      </c>
    </row>
    <row r="355" spans="1:2" x14ac:dyDescent="0.25">
      <c r="A355" s="16" t="s">
        <v>495</v>
      </c>
      <c r="B355" s="16">
        <v>1</v>
      </c>
    </row>
    <row r="356" spans="1:2" x14ac:dyDescent="0.25">
      <c r="A356" s="16" t="s">
        <v>733</v>
      </c>
      <c r="B356" s="16">
        <v>1</v>
      </c>
    </row>
    <row r="357" spans="1:2" x14ac:dyDescent="0.25">
      <c r="A357" s="16" t="s">
        <v>68</v>
      </c>
      <c r="B357" s="16">
        <v>1</v>
      </c>
    </row>
    <row r="358" spans="1:2" x14ac:dyDescent="0.25">
      <c r="A358" s="16" t="s">
        <v>774</v>
      </c>
      <c r="B358" s="16">
        <v>1</v>
      </c>
    </row>
    <row r="359" spans="1:2" x14ac:dyDescent="0.25">
      <c r="A359" s="16" t="s">
        <v>672</v>
      </c>
      <c r="B359" s="16">
        <v>1</v>
      </c>
    </row>
    <row r="360" spans="1:2" x14ac:dyDescent="0.25">
      <c r="A360" s="16" t="s">
        <v>676</v>
      </c>
      <c r="B360" s="16">
        <v>1</v>
      </c>
    </row>
    <row r="361" spans="1:2" x14ac:dyDescent="0.25">
      <c r="A361" s="40" t="s">
        <v>966</v>
      </c>
      <c r="B361" s="41">
        <v>939</v>
      </c>
    </row>
    <row r="362" spans="1:2" x14ac:dyDescent="0.25">
      <c r="A362" s="42"/>
    </row>
    <row r="363" spans="1:2" ht="15.75" thickBot="1" x14ac:dyDescent="0.3"/>
    <row r="364" spans="1:2" x14ac:dyDescent="0.25">
      <c r="A364" s="149" t="s">
        <v>1019</v>
      </c>
      <c r="B364" s="150"/>
    </row>
    <row r="365" spans="1:2" x14ac:dyDescent="0.25">
      <c r="A365" s="39" t="s">
        <v>1008</v>
      </c>
      <c r="B365" s="39" t="s">
        <v>1009</v>
      </c>
    </row>
    <row r="366" spans="1:2" x14ac:dyDescent="0.25">
      <c r="A366" s="16" t="s">
        <v>847</v>
      </c>
      <c r="B366" s="16">
        <v>101</v>
      </c>
    </row>
    <row r="367" spans="1:2" x14ac:dyDescent="0.25">
      <c r="A367" s="16" t="s">
        <v>55</v>
      </c>
      <c r="B367" s="16">
        <v>95</v>
      </c>
    </row>
    <row r="368" spans="1:2" x14ac:dyDescent="0.25">
      <c r="A368" s="16" t="s">
        <v>642</v>
      </c>
      <c r="B368" s="16">
        <v>94</v>
      </c>
    </row>
    <row r="369" spans="1:2" x14ac:dyDescent="0.25">
      <c r="A369" s="16" t="s">
        <v>292</v>
      </c>
      <c r="B369" s="16">
        <v>79</v>
      </c>
    </row>
    <row r="370" spans="1:2" x14ac:dyDescent="0.25">
      <c r="A370" s="16" t="s">
        <v>1014</v>
      </c>
      <c r="B370" s="16">
        <v>63</v>
      </c>
    </row>
    <row r="371" spans="1:2" x14ac:dyDescent="0.25">
      <c r="A371" s="16" t="s">
        <v>353</v>
      </c>
      <c r="B371" s="16">
        <v>56</v>
      </c>
    </row>
    <row r="372" spans="1:2" x14ac:dyDescent="0.25">
      <c r="A372" s="16" t="s">
        <v>640</v>
      </c>
      <c r="B372" s="16">
        <v>46</v>
      </c>
    </row>
    <row r="373" spans="1:2" x14ac:dyDescent="0.25">
      <c r="A373" s="16" t="s">
        <v>184</v>
      </c>
      <c r="B373" s="16">
        <v>42</v>
      </c>
    </row>
    <row r="374" spans="1:2" x14ac:dyDescent="0.25">
      <c r="A374" s="16" t="s">
        <v>336</v>
      </c>
      <c r="B374" s="16">
        <v>39</v>
      </c>
    </row>
    <row r="375" spans="1:2" x14ac:dyDescent="0.25">
      <c r="A375" s="16" t="s">
        <v>139</v>
      </c>
      <c r="B375" s="16">
        <v>34</v>
      </c>
    </row>
    <row r="376" spans="1:2" x14ac:dyDescent="0.25">
      <c r="A376" s="16" t="s">
        <v>387</v>
      </c>
      <c r="B376" s="16">
        <v>32</v>
      </c>
    </row>
    <row r="377" spans="1:2" x14ac:dyDescent="0.25">
      <c r="A377" s="16" t="s">
        <v>207</v>
      </c>
      <c r="B377" s="16">
        <v>26</v>
      </c>
    </row>
    <row r="378" spans="1:2" x14ac:dyDescent="0.25">
      <c r="A378" s="16" t="s">
        <v>390</v>
      </c>
      <c r="B378" s="16">
        <v>23</v>
      </c>
    </row>
    <row r="379" spans="1:2" x14ac:dyDescent="0.25">
      <c r="A379" s="16" t="s">
        <v>520</v>
      </c>
      <c r="B379" s="16">
        <v>23</v>
      </c>
    </row>
    <row r="380" spans="1:2" x14ac:dyDescent="0.25">
      <c r="A380" s="16" t="s">
        <v>469</v>
      </c>
      <c r="B380" s="16">
        <v>22</v>
      </c>
    </row>
    <row r="381" spans="1:2" x14ac:dyDescent="0.25">
      <c r="A381" s="16" t="s">
        <v>762</v>
      </c>
      <c r="B381" s="16">
        <v>21</v>
      </c>
    </row>
    <row r="382" spans="1:2" x14ac:dyDescent="0.25">
      <c r="A382" s="16" t="s">
        <v>112</v>
      </c>
      <c r="B382" s="16">
        <v>16</v>
      </c>
    </row>
    <row r="383" spans="1:2" x14ac:dyDescent="0.25">
      <c r="A383" s="16" t="s">
        <v>200</v>
      </c>
      <c r="B383" s="16">
        <v>14</v>
      </c>
    </row>
    <row r="384" spans="1:2" x14ac:dyDescent="0.25">
      <c r="A384" s="16" t="s">
        <v>737</v>
      </c>
      <c r="B384" s="16">
        <v>14</v>
      </c>
    </row>
    <row r="385" spans="1:2" x14ac:dyDescent="0.25">
      <c r="A385" s="16" t="s">
        <v>168</v>
      </c>
      <c r="B385" s="16">
        <v>13</v>
      </c>
    </row>
    <row r="386" spans="1:2" x14ac:dyDescent="0.25">
      <c r="A386" s="16" t="s">
        <v>709</v>
      </c>
      <c r="B386" s="16">
        <v>13</v>
      </c>
    </row>
    <row r="387" spans="1:2" x14ac:dyDescent="0.25">
      <c r="A387" s="16" t="s">
        <v>365</v>
      </c>
      <c r="B387" s="16">
        <v>13</v>
      </c>
    </row>
    <row r="388" spans="1:2" x14ac:dyDescent="0.25">
      <c r="A388" s="16" t="s">
        <v>831</v>
      </c>
      <c r="B388" s="16">
        <v>10</v>
      </c>
    </row>
    <row r="389" spans="1:2" x14ac:dyDescent="0.25">
      <c r="A389" s="16" t="s">
        <v>487</v>
      </c>
      <c r="B389" s="16">
        <v>10</v>
      </c>
    </row>
    <row r="390" spans="1:2" x14ac:dyDescent="0.25">
      <c r="A390" s="16" t="s">
        <v>478</v>
      </c>
      <c r="B390" s="16">
        <v>9</v>
      </c>
    </row>
    <row r="391" spans="1:2" x14ac:dyDescent="0.25">
      <c r="A391" s="16" t="s">
        <v>340</v>
      </c>
      <c r="B391" s="16">
        <v>8</v>
      </c>
    </row>
    <row r="392" spans="1:2" x14ac:dyDescent="0.25">
      <c r="A392" s="16" t="s">
        <v>303</v>
      </c>
      <c r="B392" s="16">
        <v>7</v>
      </c>
    </row>
    <row r="393" spans="1:2" x14ac:dyDescent="0.25">
      <c r="A393" s="16" t="s">
        <v>843</v>
      </c>
      <c r="B393" s="16">
        <v>5</v>
      </c>
    </row>
    <row r="394" spans="1:2" x14ac:dyDescent="0.25">
      <c r="A394" s="16" t="s">
        <v>940</v>
      </c>
      <c r="B394" s="16">
        <v>5</v>
      </c>
    </row>
    <row r="395" spans="1:2" x14ac:dyDescent="0.25">
      <c r="A395" s="16" t="s">
        <v>224</v>
      </c>
      <c r="B395" s="16">
        <v>5</v>
      </c>
    </row>
    <row r="396" spans="1:2" x14ac:dyDescent="0.25">
      <c r="A396" s="16" t="s">
        <v>672</v>
      </c>
      <c r="B396" s="16">
        <v>5</v>
      </c>
    </row>
    <row r="397" spans="1:2" x14ac:dyDescent="0.25">
      <c r="A397" s="16" t="s">
        <v>930</v>
      </c>
      <c r="B397" s="16">
        <v>5</v>
      </c>
    </row>
    <row r="398" spans="1:2" x14ac:dyDescent="0.25">
      <c r="A398" s="16" t="s">
        <v>344</v>
      </c>
      <c r="B398" s="16">
        <v>4</v>
      </c>
    </row>
    <row r="399" spans="1:2" x14ac:dyDescent="0.25">
      <c r="A399" s="16" t="s">
        <v>427</v>
      </c>
      <c r="B399" s="16">
        <v>3</v>
      </c>
    </row>
    <row r="400" spans="1:2" x14ac:dyDescent="0.25">
      <c r="A400" s="16" t="s">
        <v>745</v>
      </c>
      <c r="B400" s="16">
        <v>3</v>
      </c>
    </row>
    <row r="401" spans="1:2" x14ac:dyDescent="0.25">
      <c r="A401" s="16" t="s">
        <v>89</v>
      </c>
      <c r="B401" s="16">
        <v>2</v>
      </c>
    </row>
    <row r="402" spans="1:2" x14ac:dyDescent="0.25">
      <c r="A402" s="16" t="s">
        <v>163</v>
      </c>
      <c r="B402" s="16">
        <v>2</v>
      </c>
    </row>
    <row r="403" spans="1:2" x14ac:dyDescent="0.25">
      <c r="A403" s="16" t="s">
        <v>705</v>
      </c>
      <c r="B403" s="16">
        <v>2</v>
      </c>
    </row>
    <row r="404" spans="1:2" x14ac:dyDescent="0.25">
      <c r="A404" s="16" t="s">
        <v>564</v>
      </c>
      <c r="B404" s="16">
        <v>2</v>
      </c>
    </row>
    <row r="405" spans="1:2" x14ac:dyDescent="0.25">
      <c r="A405" s="16" t="s">
        <v>357</v>
      </c>
      <c r="B405" s="16">
        <v>1</v>
      </c>
    </row>
    <row r="406" spans="1:2" x14ac:dyDescent="0.25">
      <c r="A406" s="16" t="s">
        <v>777</v>
      </c>
      <c r="B406" s="16">
        <v>1</v>
      </c>
    </row>
    <row r="407" spans="1:2" x14ac:dyDescent="0.25">
      <c r="A407" s="16" t="s">
        <v>219</v>
      </c>
      <c r="B407" s="16">
        <v>1</v>
      </c>
    </row>
    <row r="408" spans="1:2" x14ac:dyDescent="0.25">
      <c r="A408" s="16" t="s">
        <v>662</v>
      </c>
      <c r="B408" s="16">
        <v>1</v>
      </c>
    </row>
    <row r="409" spans="1:2" x14ac:dyDescent="0.25">
      <c r="A409" s="16" t="s">
        <v>542</v>
      </c>
      <c r="B409" s="16">
        <v>1</v>
      </c>
    </row>
    <row r="410" spans="1:2" x14ac:dyDescent="0.25">
      <c r="A410" s="16" t="s">
        <v>754</v>
      </c>
      <c r="B410" s="16">
        <v>1</v>
      </c>
    </row>
    <row r="411" spans="1:2" x14ac:dyDescent="0.25">
      <c r="A411" s="16" t="s">
        <v>68</v>
      </c>
      <c r="B411" s="16">
        <v>1</v>
      </c>
    </row>
    <row r="412" spans="1:2" x14ac:dyDescent="0.25">
      <c r="A412" s="16" t="s">
        <v>419</v>
      </c>
      <c r="B412" s="16">
        <v>1</v>
      </c>
    </row>
    <row r="413" spans="1:2" x14ac:dyDescent="0.25">
      <c r="A413" s="16" t="s">
        <v>495</v>
      </c>
      <c r="B413" s="16">
        <v>1</v>
      </c>
    </row>
    <row r="414" spans="1:2" x14ac:dyDescent="0.25">
      <c r="A414" s="16" t="s">
        <v>774</v>
      </c>
      <c r="B414" s="16">
        <v>1</v>
      </c>
    </row>
    <row r="415" spans="1:2" x14ac:dyDescent="0.25">
      <c r="A415" s="16" t="s">
        <v>455</v>
      </c>
      <c r="B415" s="16">
        <v>1</v>
      </c>
    </row>
    <row r="416" spans="1:2" x14ac:dyDescent="0.25">
      <c r="A416" s="40" t="s">
        <v>966</v>
      </c>
      <c r="B416" s="41">
        <v>977</v>
      </c>
    </row>
    <row r="418" spans="1:2" ht="15.75" thickBot="1" x14ac:dyDescent="0.3"/>
    <row r="419" spans="1:2" x14ac:dyDescent="0.25">
      <c r="A419" s="149" t="s">
        <v>1020</v>
      </c>
      <c r="B419" s="150"/>
    </row>
    <row r="420" spans="1:2" x14ac:dyDescent="0.25">
      <c r="A420" s="39" t="s">
        <v>1008</v>
      </c>
      <c r="B420" s="39" t="s">
        <v>1009</v>
      </c>
    </row>
    <row r="421" spans="1:2" x14ac:dyDescent="0.25">
      <c r="A421" s="14" t="s">
        <v>847</v>
      </c>
      <c r="B421" s="16">
        <v>145</v>
      </c>
    </row>
    <row r="422" spans="1:2" x14ac:dyDescent="0.25">
      <c r="A422" s="14" t="s">
        <v>642</v>
      </c>
      <c r="B422" s="16">
        <v>105</v>
      </c>
    </row>
    <row r="423" spans="1:2" x14ac:dyDescent="0.25">
      <c r="A423" s="14" t="s">
        <v>55</v>
      </c>
      <c r="B423" s="16">
        <v>89</v>
      </c>
    </row>
    <row r="424" spans="1:2" x14ac:dyDescent="0.25">
      <c r="A424" s="14" t="s">
        <v>292</v>
      </c>
      <c r="B424" s="16">
        <v>83</v>
      </c>
    </row>
    <row r="425" spans="1:2" x14ac:dyDescent="0.25">
      <c r="A425" s="14" t="s">
        <v>1014</v>
      </c>
      <c r="B425" s="16">
        <v>65</v>
      </c>
    </row>
    <row r="426" spans="1:2" x14ac:dyDescent="0.25">
      <c r="A426" s="14" t="s">
        <v>353</v>
      </c>
      <c r="B426" s="16">
        <v>64</v>
      </c>
    </row>
    <row r="427" spans="1:2" x14ac:dyDescent="0.25">
      <c r="A427" s="14" t="s">
        <v>139</v>
      </c>
      <c r="B427" s="16">
        <v>50</v>
      </c>
    </row>
    <row r="428" spans="1:2" x14ac:dyDescent="0.25">
      <c r="A428" s="14" t="s">
        <v>184</v>
      </c>
      <c r="B428" s="16">
        <v>44</v>
      </c>
    </row>
    <row r="429" spans="1:2" x14ac:dyDescent="0.25">
      <c r="A429" s="14" t="s">
        <v>207</v>
      </c>
      <c r="B429" s="16">
        <v>40</v>
      </c>
    </row>
    <row r="430" spans="1:2" x14ac:dyDescent="0.25">
      <c r="A430" s="14" t="s">
        <v>336</v>
      </c>
      <c r="B430" s="16">
        <v>39</v>
      </c>
    </row>
    <row r="431" spans="1:2" x14ac:dyDescent="0.25">
      <c r="A431" s="14" t="s">
        <v>387</v>
      </c>
      <c r="B431" s="16">
        <v>27</v>
      </c>
    </row>
    <row r="432" spans="1:2" x14ac:dyDescent="0.25">
      <c r="A432" s="14" t="s">
        <v>640</v>
      </c>
      <c r="B432" s="16">
        <v>26</v>
      </c>
    </row>
    <row r="433" spans="1:2" x14ac:dyDescent="0.25">
      <c r="A433" s="14" t="s">
        <v>340</v>
      </c>
      <c r="B433" s="16">
        <v>25</v>
      </c>
    </row>
    <row r="434" spans="1:2" x14ac:dyDescent="0.25">
      <c r="A434" s="14" t="s">
        <v>709</v>
      </c>
      <c r="B434" s="16">
        <v>23</v>
      </c>
    </row>
    <row r="435" spans="1:2" x14ac:dyDescent="0.25">
      <c r="A435" s="14" t="s">
        <v>762</v>
      </c>
      <c r="B435" s="16">
        <v>22</v>
      </c>
    </row>
    <row r="436" spans="1:2" x14ac:dyDescent="0.25">
      <c r="A436" s="14" t="s">
        <v>112</v>
      </c>
      <c r="B436" s="16">
        <v>22</v>
      </c>
    </row>
    <row r="437" spans="1:2" x14ac:dyDescent="0.25">
      <c r="A437" s="14" t="s">
        <v>469</v>
      </c>
      <c r="B437" s="16">
        <v>19</v>
      </c>
    </row>
    <row r="438" spans="1:2" x14ac:dyDescent="0.25">
      <c r="A438" s="14" t="s">
        <v>390</v>
      </c>
      <c r="B438" s="16">
        <v>18</v>
      </c>
    </row>
    <row r="439" spans="1:2" x14ac:dyDescent="0.25">
      <c r="A439" s="14" t="s">
        <v>365</v>
      </c>
      <c r="B439" s="16">
        <v>18</v>
      </c>
    </row>
    <row r="440" spans="1:2" x14ac:dyDescent="0.25">
      <c r="A440" s="14" t="s">
        <v>745</v>
      </c>
      <c r="B440" s="16">
        <v>17</v>
      </c>
    </row>
    <row r="441" spans="1:2" x14ac:dyDescent="0.25">
      <c r="A441" s="14" t="s">
        <v>200</v>
      </c>
      <c r="B441" s="16">
        <v>17</v>
      </c>
    </row>
    <row r="442" spans="1:2" x14ac:dyDescent="0.25">
      <c r="A442" s="14" t="s">
        <v>520</v>
      </c>
      <c r="B442" s="16">
        <v>15</v>
      </c>
    </row>
    <row r="443" spans="1:2" x14ac:dyDescent="0.25">
      <c r="A443" s="14" t="s">
        <v>737</v>
      </c>
      <c r="B443" s="16">
        <v>14</v>
      </c>
    </row>
    <row r="444" spans="1:2" x14ac:dyDescent="0.25">
      <c r="A444" s="14" t="s">
        <v>478</v>
      </c>
      <c r="B444" s="16">
        <v>11</v>
      </c>
    </row>
    <row r="445" spans="1:2" x14ac:dyDescent="0.25">
      <c r="A445" s="14" t="s">
        <v>930</v>
      </c>
      <c r="B445" s="16">
        <v>10</v>
      </c>
    </row>
    <row r="446" spans="1:2" x14ac:dyDescent="0.25">
      <c r="A446" s="14" t="s">
        <v>487</v>
      </c>
      <c r="B446" s="16">
        <v>10</v>
      </c>
    </row>
    <row r="447" spans="1:2" x14ac:dyDescent="0.25">
      <c r="A447" s="14" t="s">
        <v>705</v>
      </c>
      <c r="B447" s="16">
        <v>7</v>
      </c>
    </row>
    <row r="448" spans="1:2" x14ac:dyDescent="0.25">
      <c r="A448" s="14" t="s">
        <v>168</v>
      </c>
      <c r="B448" s="16">
        <v>7</v>
      </c>
    </row>
    <row r="449" spans="1:2" x14ac:dyDescent="0.25">
      <c r="A449" s="14" t="s">
        <v>676</v>
      </c>
      <c r="B449" s="16">
        <v>7</v>
      </c>
    </row>
    <row r="450" spans="1:2" x14ac:dyDescent="0.25">
      <c r="A450" s="14" t="s">
        <v>831</v>
      </c>
      <c r="B450" s="16">
        <v>5</v>
      </c>
    </row>
    <row r="451" spans="1:2" x14ac:dyDescent="0.25">
      <c r="A451" s="14" t="s">
        <v>427</v>
      </c>
      <c r="B451" s="16">
        <v>5</v>
      </c>
    </row>
    <row r="452" spans="1:2" x14ac:dyDescent="0.25">
      <c r="A452" s="14" t="s">
        <v>843</v>
      </c>
      <c r="B452" s="16">
        <v>5</v>
      </c>
    </row>
    <row r="453" spans="1:2" x14ac:dyDescent="0.25">
      <c r="A453" s="14" t="s">
        <v>344</v>
      </c>
      <c r="B453" s="16">
        <v>5</v>
      </c>
    </row>
    <row r="454" spans="1:2" x14ac:dyDescent="0.25">
      <c r="A454" s="14" t="s">
        <v>940</v>
      </c>
      <c r="B454" s="16">
        <v>5</v>
      </c>
    </row>
    <row r="455" spans="1:2" x14ac:dyDescent="0.25">
      <c r="A455" s="14" t="s">
        <v>419</v>
      </c>
      <c r="B455" s="16">
        <v>4</v>
      </c>
    </row>
    <row r="456" spans="1:2" x14ac:dyDescent="0.25">
      <c r="A456" s="14" t="s">
        <v>224</v>
      </c>
      <c r="B456" s="16">
        <v>4</v>
      </c>
    </row>
    <row r="457" spans="1:2" x14ac:dyDescent="0.25">
      <c r="A457" s="14" t="s">
        <v>542</v>
      </c>
      <c r="B457" s="16">
        <v>4</v>
      </c>
    </row>
    <row r="458" spans="1:2" x14ac:dyDescent="0.25">
      <c r="A458" s="14" t="s">
        <v>303</v>
      </c>
      <c r="B458" s="16">
        <v>4</v>
      </c>
    </row>
    <row r="459" spans="1:2" x14ac:dyDescent="0.25">
      <c r="A459" s="14" t="s">
        <v>777</v>
      </c>
      <c r="B459" s="16">
        <v>3</v>
      </c>
    </row>
    <row r="460" spans="1:2" x14ac:dyDescent="0.25">
      <c r="A460" s="14" t="s">
        <v>863</v>
      </c>
      <c r="B460" s="16">
        <v>3</v>
      </c>
    </row>
    <row r="461" spans="1:2" x14ac:dyDescent="0.25">
      <c r="A461" s="14" t="s">
        <v>564</v>
      </c>
      <c r="B461" s="16">
        <v>2</v>
      </c>
    </row>
    <row r="462" spans="1:2" x14ac:dyDescent="0.25">
      <c r="A462" s="14" t="s">
        <v>163</v>
      </c>
      <c r="B462" s="16">
        <v>2</v>
      </c>
    </row>
    <row r="463" spans="1:2" x14ac:dyDescent="0.25">
      <c r="A463" s="14" t="s">
        <v>89</v>
      </c>
      <c r="B463" s="16">
        <v>2</v>
      </c>
    </row>
    <row r="464" spans="1:2" x14ac:dyDescent="0.25">
      <c r="A464" s="14" t="s">
        <v>219</v>
      </c>
      <c r="B464" s="16">
        <v>2</v>
      </c>
    </row>
    <row r="465" spans="1:2" x14ac:dyDescent="0.25">
      <c r="A465" s="14" t="s">
        <v>754</v>
      </c>
      <c r="B465" s="16">
        <v>1</v>
      </c>
    </row>
    <row r="466" spans="1:2" x14ac:dyDescent="0.25">
      <c r="A466" s="14" t="s">
        <v>68</v>
      </c>
      <c r="B466" s="16">
        <v>1</v>
      </c>
    </row>
    <row r="467" spans="1:2" x14ac:dyDescent="0.25">
      <c r="A467" s="14" t="s">
        <v>835</v>
      </c>
      <c r="B467" s="16">
        <v>1</v>
      </c>
    </row>
    <row r="468" spans="1:2" x14ac:dyDescent="0.25">
      <c r="A468" s="14" t="s">
        <v>774</v>
      </c>
      <c r="B468" s="16">
        <v>1</v>
      </c>
    </row>
    <row r="469" spans="1:2" x14ac:dyDescent="0.25">
      <c r="A469" s="14" t="s">
        <v>495</v>
      </c>
      <c r="B469" s="16">
        <v>1</v>
      </c>
    </row>
    <row r="470" spans="1:2" x14ac:dyDescent="0.25">
      <c r="A470" s="14" t="s">
        <v>662</v>
      </c>
      <c r="B470" s="16">
        <v>1</v>
      </c>
    </row>
    <row r="471" spans="1:2" x14ac:dyDescent="0.25">
      <c r="A471" s="14" t="s">
        <v>608</v>
      </c>
      <c r="B471" s="16">
        <v>1</v>
      </c>
    </row>
    <row r="472" spans="1:2" x14ac:dyDescent="0.25">
      <c r="A472" s="14" t="s">
        <v>672</v>
      </c>
      <c r="B472" s="16">
        <v>1</v>
      </c>
    </row>
    <row r="473" spans="1:2" x14ac:dyDescent="0.25">
      <c r="A473" s="14" t="s">
        <v>455</v>
      </c>
      <c r="B473" s="16">
        <v>1</v>
      </c>
    </row>
    <row r="474" spans="1:2" x14ac:dyDescent="0.25">
      <c r="A474" s="14" t="s">
        <v>357</v>
      </c>
      <c r="B474" s="16">
        <v>1</v>
      </c>
    </row>
    <row r="475" spans="1:2" x14ac:dyDescent="0.25">
      <c r="A475" s="40" t="s">
        <v>966</v>
      </c>
      <c r="B475" s="41">
        <v>1104</v>
      </c>
    </row>
  </sheetData>
  <mergeCells count="4">
    <mergeCell ref="A1:B4"/>
    <mergeCell ref="A419:B419"/>
    <mergeCell ref="A364:B364"/>
    <mergeCell ref="A313:B3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42"/>
  <sheetViews>
    <sheetView zoomScaleNormal="100" workbookViewId="0">
      <selection activeCell="I6" sqref="I6"/>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5703125" style="3"/>
  </cols>
  <sheetData>
    <row r="1" spans="1:56" ht="26.25" customHeight="1" thickBot="1" x14ac:dyDescent="0.3">
      <c r="A1" s="156" t="s">
        <v>953</v>
      </c>
      <c r="B1" s="157"/>
      <c r="C1" s="157"/>
      <c r="D1" s="157"/>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
      <c r="A2" s="165" t="s">
        <v>954</v>
      </c>
      <c r="B2" s="166"/>
      <c r="C2" s="166"/>
      <c r="D2" s="166"/>
      <c r="E2" s="166"/>
      <c r="F2" s="166"/>
      <c r="G2" s="166"/>
      <c r="H2" s="16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156" t="s">
        <v>955</v>
      </c>
      <c r="B5" s="157"/>
      <c r="C5" s="157"/>
      <c r="D5" s="158"/>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27" t="s">
        <v>956</v>
      </c>
      <c r="B6" s="26" t="s">
        <v>957</v>
      </c>
      <c r="C6" s="26" t="s">
        <v>958</v>
      </c>
      <c r="D6" s="26" t="s">
        <v>959</v>
      </c>
      <c r="G6" s="132" t="s">
        <v>960</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24" t="s">
        <v>961</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24" t="s">
        <v>962</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24" t="s">
        <v>963</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25" t="s">
        <v>964</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24" t="s">
        <v>965</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21" t="s">
        <v>966</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168" t="s">
        <v>967</v>
      </c>
      <c r="B14" s="168"/>
      <c r="C14" s="168"/>
      <c r="D14" s="168"/>
      <c r="E14" s="168"/>
      <c r="F14" s="168"/>
      <c r="G14" s="168"/>
      <c r="H14" s="16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59"/>
      <c r="B15" s="59"/>
      <c r="C15" s="59"/>
      <c r="D15" s="59"/>
      <c r="E15" s="59"/>
      <c r="F15" s="59"/>
      <c r="G15" s="59"/>
      <c r="H15" s="59"/>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156" t="s">
        <v>968</v>
      </c>
      <c r="B16" s="157"/>
      <c r="C16" s="157"/>
      <c r="D16" s="158"/>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27" t="s">
        <v>956</v>
      </c>
      <c r="B17" s="26" t="s">
        <v>957</v>
      </c>
      <c r="C17" s="26" t="s">
        <v>958</v>
      </c>
      <c r="D17" s="26" t="s">
        <v>959</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24" t="s">
        <v>961</v>
      </c>
      <c r="B18" s="23">
        <v>52</v>
      </c>
      <c r="C18" s="22">
        <v>9.884615385</v>
      </c>
      <c r="D18" s="22">
        <v>11.42222222</v>
      </c>
      <c r="E18" s="61"/>
      <c r="F18" s="62"/>
      <c r="G18" s="62"/>
      <c r="H18" s="62"/>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24" t="s">
        <v>962</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24" t="s">
        <v>963</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25" t="s">
        <v>964</v>
      </c>
      <c r="B21" s="23">
        <v>19</v>
      </c>
      <c r="C21" s="22">
        <v>7.0526315789999998</v>
      </c>
      <c r="D21" s="22">
        <v>7.4444444440000002</v>
      </c>
      <c r="E21" s="60"/>
      <c r="F21" s="60"/>
      <c r="G21" s="60"/>
      <c r="H21" s="60"/>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24" t="s">
        <v>965</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21" t="s">
        <v>966</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168" t="s">
        <v>969</v>
      </c>
      <c r="B25" s="168"/>
      <c r="C25" s="168"/>
      <c r="D25" s="168"/>
      <c r="E25" s="168"/>
      <c r="F25" s="168"/>
      <c r="G25" s="168"/>
      <c r="H25" s="16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59" t="s">
        <v>970</v>
      </c>
      <c r="B26" s="59"/>
      <c r="C26" s="59"/>
      <c r="D26" s="59"/>
      <c r="E26" s="59"/>
      <c r="F26" s="59"/>
      <c r="G26" s="59"/>
      <c r="H26" s="59"/>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59"/>
      <c r="B27" s="59"/>
      <c r="C27" s="59"/>
      <c r="D27" s="59"/>
      <c r="E27" s="59"/>
      <c r="F27" s="59"/>
      <c r="G27" s="59"/>
      <c r="H27" s="59"/>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156" t="s">
        <v>971</v>
      </c>
      <c r="B28" s="157"/>
      <c r="C28" s="157"/>
      <c r="D28" s="158"/>
      <c r="E28" s="59"/>
      <c r="F28" s="59"/>
      <c r="G28" s="59"/>
      <c r="H28" s="59"/>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27" t="s">
        <v>956</v>
      </c>
      <c r="B29" s="26" t="s">
        <v>957</v>
      </c>
      <c r="C29" s="26" t="s">
        <v>958</v>
      </c>
      <c r="D29" s="26" t="s">
        <v>959</v>
      </c>
      <c r="E29" s="59"/>
      <c r="F29" s="59"/>
      <c r="G29" s="59"/>
      <c r="H29" s="59"/>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24" t="s">
        <v>961</v>
      </c>
      <c r="B30" s="23">
        <v>59</v>
      </c>
      <c r="C30" s="22">
        <v>11.78</v>
      </c>
      <c r="D30" s="22">
        <v>35</v>
      </c>
      <c r="E30" s="59"/>
      <c r="F30" s="59"/>
      <c r="G30" s="59"/>
      <c r="H30" s="59"/>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24" t="s">
        <v>962</v>
      </c>
      <c r="B31" s="23">
        <v>13</v>
      </c>
      <c r="C31" s="22">
        <v>17.079999999999998</v>
      </c>
      <c r="D31" s="22">
        <v>64.540000000000006</v>
      </c>
      <c r="E31" s="59"/>
      <c r="F31" s="59"/>
      <c r="G31" s="59"/>
      <c r="H31" s="59"/>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24" t="s">
        <v>963</v>
      </c>
      <c r="B32" s="23">
        <v>146</v>
      </c>
      <c r="C32" s="22">
        <v>10.210000000000001</v>
      </c>
      <c r="D32" s="22">
        <v>18.420000000000002</v>
      </c>
      <c r="E32" s="59"/>
      <c r="F32" s="59"/>
      <c r="G32" s="59"/>
      <c r="H32" s="59"/>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25" t="s">
        <v>964</v>
      </c>
      <c r="B33" s="23">
        <v>32</v>
      </c>
      <c r="C33" s="22">
        <v>4.91</v>
      </c>
      <c r="D33" s="22">
        <v>9.9700000000000006</v>
      </c>
      <c r="E33" s="59"/>
      <c r="F33" s="59"/>
      <c r="G33" s="59"/>
      <c r="H33" s="59"/>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24" t="s">
        <v>965</v>
      </c>
      <c r="B34" s="23">
        <v>61</v>
      </c>
      <c r="C34" s="22">
        <v>50.8</v>
      </c>
      <c r="D34" s="22">
        <v>87.23</v>
      </c>
      <c r="E34" s="59"/>
      <c r="F34" s="59"/>
      <c r="G34" s="59"/>
      <c r="H34" s="59"/>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21" t="s">
        <v>966</v>
      </c>
      <c r="B35" s="20">
        <v>311</v>
      </c>
      <c r="C35" s="19">
        <v>18.21</v>
      </c>
      <c r="D35" s="19">
        <v>36.119999999999997</v>
      </c>
      <c r="E35" s="59"/>
      <c r="F35" s="59"/>
      <c r="G35" s="59"/>
      <c r="H35" s="59"/>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8" t="s">
        <v>972</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156" t="s">
        <v>973</v>
      </c>
      <c r="B40" s="157"/>
      <c r="C40" s="157"/>
      <c r="D40" s="158"/>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27" t="s">
        <v>956</v>
      </c>
      <c r="B41" s="26" t="s">
        <v>957</v>
      </c>
      <c r="C41" s="26" t="s">
        <v>958</v>
      </c>
      <c r="D41" s="26" t="s">
        <v>959</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24" t="s">
        <v>961</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24" t="s">
        <v>962</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24" t="s">
        <v>963</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25" t="s">
        <v>964</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24" t="s">
        <v>965</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21" t="s">
        <v>966</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8" t="s">
        <v>974</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156" t="s">
        <v>975</v>
      </c>
      <c r="B52" s="157"/>
      <c r="C52" s="157"/>
      <c r="D52" s="158"/>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27" t="s">
        <v>956</v>
      </c>
      <c r="B53" s="26" t="s">
        <v>957</v>
      </c>
      <c r="C53" s="26" t="s">
        <v>958</v>
      </c>
      <c r="D53" s="26" t="s">
        <v>959</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24" t="s">
        <v>961</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24" t="s">
        <v>962</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24" t="s">
        <v>963</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25" t="s">
        <v>964</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24" t="s">
        <v>965</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21" t="s">
        <v>966</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8" t="s">
        <v>976</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156" t="s">
        <v>977</v>
      </c>
      <c r="B64" s="157"/>
      <c r="C64" s="157"/>
      <c r="D64" s="158"/>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27" t="s">
        <v>956</v>
      </c>
      <c r="B65" s="26" t="s">
        <v>957</v>
      </c>
      <c r="C65" s="26" t="s">
        <v>958</v>
      </c>
      <c r="D65" s="26" t="s">
        <v>959</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24" t="s">
        <v>961</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24" t="s">
        <v>962</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24" t="s">
        <v>963</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25" t="s">
        <v>964</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24" t="s">
        <v>965</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21" t="s">
        <v>966</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8" t="s">
        <v>978</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156" t="s">
        <v>979</v>
      </c>
      <c r="B76" s="157"/>
      <c r="C76" s="157"/>
      <c r="D76" s="158"/>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27" t="s">
        <v>956</v>
      </c>
      <c r="B77" s="26" t="s">
        <v>957</v>
      </c>
      <c r="C77" s="26" t="s">
        <v>958</v>
      </c>
      <c r="D77" s="26" t="s">
        <v>959</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24" t="s">
        <v>961</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24" t="s">
        <v>962</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24" t="s">
        <v>963</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25" t="s">
        <v>964</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24" t="s">
        <v>965</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21" t="s">
        <v>966</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8" t="s">
        <v>980</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156" t="s">
        <v>981</v>
      </c>
      <c r="B88" s="157"/>
      <c r="C88" s="157"/>
      <c r="D88" s="158"/>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27" t="s">
        <v>956</v>
      </c>
      <c r="B89" s="26" t="s">
        <v>957</v>
      </c>
      <c r="C89" s="26" t="s">
        <v>958</v>
      </c>
      <c r="D89" s="26" t="s">
        <v>959</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24" t="s">
        <v>961</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24" t="s">
        <v>962</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24" t="s">
        <v>963</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25" t="s">
        <v>964</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24" t="s">
        <v>965</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21" t="s">
        <v>966</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8" t="s">
        <v>982</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156" t="s">
        <v>983</v>
      </c>
      <c r="B100" s="157"/>
      <c r="C100" s="157"/>
      <c r="D100" s="158"/>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27" t="s">
        <v>956</v>
      </c>
      <c r="B101" s="26" t="s">
        <v>957</v>
      </c>
      <c r="C101" s="26" t="s">
        <v>958</v>
      </c>
      <c r="D101" s="26" t="s">
        <v>959</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24" t="s">
        <v>961</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24" t="s">
        <v>962</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24" t="s">
        <v>984</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25" t="s">
        <v>964</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24" t="s">
        <v>965</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21" t="s">
        <v>966</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8" t="s">
        <v>985</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156" t="s">
        <v>986</v>
      </c>
      <c r="B112" s="157"/>
      <c r="C112" s="157"/>
      <c r="D112" s="158"/>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27" t="s">
        <v>956</v>
      </c>
      <c r="B113" s="26" t="s">
        <v>957</v>
      </c>
      <c r="C113" s="26" t="s">
        <v>958</v>
      </c>
      <c r="D113" s="26" t="s">
        <v>959</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24" t="s">
        <v>961</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24" t="s">
        <v>962</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24" t="s">
        <v>984</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25" t="s">
        <v>964</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24" t="s">
        <v>965</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21" t="s">
        <v>966</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8" t="s">
        <v>987</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156" t="s">
        <v>988</v>
      </c>
      <c r="B124" s="157"/>
      <c r="C124" s="157"/>
      <c r="D124" s="158"/>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27" t="s">
        <v>956</v>
      </c>
      <c r="B125" s="26" t="s">
        <v>957</v>
      </c>
      <c r="C125" s="26" t="s">
        <v>958</v>
      </c>
      <c r="D125" s="26" t="s">
        <v>959</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24" t="s">
        <v>961</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24" t="s">
        <v>962</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24" t="s">
        <v>984</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25" t="s">
        <v>964</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24" t="s">
        <v>965</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21" t="s">
        <v>966</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8" t="s">
        <v>989</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156" t="s">
        <v>990</v>
      </c>
      <c r="B136" s="157"/>
      <c r="C136" s="157"/>
      <c r="D136" s="158"/>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27" t="s">
        <v>956</v>
      </c>
      <c r="B137" s="26" t="s">
        <v>957</v>
      </c>
      <c r="C137" s="26" t="s">
        <v>958</v>
      </c>
      <c r="D137" s="26" t="s">
        <v>959</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24" t="s">
        <v>961</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24" t="s">
        <v>962</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24" t="s">
        <v>984</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25" t="s">
        <v>964</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24" t="s">
        <v>965</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21" t="s">
        <v>966</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8" t="s">
        <v>991</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5" thickBot="1" x14ac:dyDescent="0.3">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5" thickBot="1" x14ac:dyDescent="0.3">
      <c r="A148" s="156" t="s">
        <v>992</v>
      </c>
      <c r="B148" s="157"/>
      <c r="C148" s="157"/>
      <c r="D148" s="158"/>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30.75" thickBot="1" x14ac:dyDescent="0.3">
      <c r="A149" s="27" t="s">
        <v>956</v>
      </c>
      <c r="B149" s="26" t="s">
        <v>957</v>
      </c>
      <c r="C149" s="26" t="s">
        <v>958</v>
      </c>
      <c r="D149" s="26" t="s">
        <v>959</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5" thickBot="1" x14ac:dyDescent="0.3">
      <c r="A150" s="24" t="s">
        <v>961</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5" thickBot="1" x14ac:dyDescent="0.3">
      <c r="A151" s="24" t="s">
        <v>962</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5" thickBot="1" x14ac:dyDescent="0.3">
      <c r="A152" s="24" t="s">
        <v>984</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30.75" thickBot="1" x14ac:dyDescent="0.3">
      <c r="A153" s="25" t="s">
        <v>964</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5" thickBot="1" x14ac:dyDescent="0.3">
      <c r="A154" s="24" t="s">
        <v>965</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5" thickBot="1" x14ac:dyDescent="0.3">
      <c r="A155" s="21" t="s">
        <v>966</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8" t="s">
        <v>993</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5" thickBot="1" x14ac:dyDescent="0.3">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5" thickBot="1" x14ac:dyDescent="0.3">
      <c r="A160" s="156" t="s">
        <v>994</v>
      </c>
      <c r="B160" s="157"/>
      <c r="C160" s="157"/>
      <c r="D160" s="158"/>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30.75" thickBot="1" x14ac:dyDescent="0.3">
      <c r="A161" s="27" t="s">
        <v>956</v>
      </c>
      <c r="B161" s="26" t="s">
        <v>957</v>
      </c>
      <c r="C161" s="26" t="s">
        <v>958</v>
      </c>
      <c r="D161" s="26" t="s">
        <v>959</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5" thickBot="1" x14ac:dyDescent="0.3">
      <c r="A162" s="24" t="s">
        <v>961</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5" thickBot="1" x14ac:dyDescent="0.3">
      <c r="A163" s="24" t="s">
        <v>962</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5" thickBot="1" x14ac:dyDescent="0.3">
      <c r="A164" s="24" t="s">
        <v>984</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30.75" thickBot="1" x14ac:dyDescent="0.3">
      <c r="A165" s="25" t="s">
        <v>964</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5" thickBot="1" x14ac:dyDescent="0.3">
      <c r="A166" s="24" t="s">
        <v>965</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5" thickBot="1" x14ac:dyDescent="0.3">
      <c r="A167" s="21" t="s">
        <v>966</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8" t="s">
        <v>995</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6.5" thickBot="1" x14ac:dyDescent="0.3">
      <c r="A171" s="18"/>
    </row>
    <row r="172" spans="1:56" thickBot="1" x14ac:dyDescent="0.3">
      <c r="A172" s="162" t="s">
        <v>996</v>
      </c>
      <c r="B172" s="163"/>
      <c r="C172" s="163"/>
      <c r="D172" s="164"/>
      <c r="M172"/>
    </row>
    <row r="173" spans="1:56" ht="30.75" thickBot="1" x14ac:dyDescent="0.3">
      <c r="A173" s="43" t="s">
        <v>956</v>
      </c>
      <c r="B173" s="44" t="s">
        <v>957</v>
      </c>
      <c r="C173" s="44" t="s">
        <v>958</v>
      </c>
      <c r="D173" s="44" t="s">
        <v>959</v>
      </c>
      <c r="M173"/>
    </row>
    <row r="174" spans="1:56" thickBot="1" x14ac:dyDescent="0.3">
      <c r="A174" s="45" t="s">
        <v>961</v>
      </c>
      <c r="B174" s="46">
        <v>208</v>
      </c>
      <c r="C174" s="47">
        <v>35.099603810541318</v>
      </c>
      <c r="D174" s="47">
        <v>45.066157978966629</v>
      </c>
      <c r="M174"/>
    </row>
    <row r="175" spans="1:56" thickBot="1" x14ac:dyDescent="0.3">
      <c r="A175" s="45" t="s">
        <v>962</v>
      </c>
      <c r="B175" s="46">
        <v>33</v>
      </c>
      <c r="C175" s="47">
        <v>87.882977342873204</v>
      </c>
      <c r="D175" s="47">
        <v>107.4125278635117</v>
      </c>
      <c r="M175"/>
    </row>
    <row r="176" spans="1:56" thickBot="1" x14ac:dyDescent="0.3">
      <c r="A176" s="45" t="s">
        <v>984</v>
      </c>
      <c r="B176" s="46">
        <v>72</v>
      </c>
      <c r="C176" s="47">
        <v>18.854335133744851</v>
      </c>
      <c r="D176" s="47">
        <v>24.682038720538714</v>
      </c>
      <c r="M176"/>
    </row>
    <row r="177" spans="1:13" ht="30.75" thickBot="1" x14ac:dyDescent="0.3">
      <c r="A177" s="48" t="s">
        <v>964</v>
      </c>
      <c r="B177" s="46">
        <v>111</v>
      </c>
      <c r="C177" s="47">
        <v>30.504809184184168</v>
      </c>
      <c r="D177" s="47">
        <v>34.202361812570125</v>
      </c>
      <c r="M177"/>
    </row>
    <row r="178" spans="1:13" thickBot="1" x14ac:dyDescent="0.3">
      <c r="A178" s="45" t="s">
        <v>965</v>
      </c>
      <c r="B178" s="46">
        <v>161</v>
      </c>
      <c r="C178" s="47">
        <v>88.631374511157119</v>
      </c>
      <c r="D178" s="47">
        <v>113.25120076425632</v>
      </c>
      <c r="M178"/>
    </row>
    <row r="179" spans="1:13" thickBot="1" x14ac:dyDescent="0.3">
      <c r="A179" s="49" t="s">
        <v>966</v>
      </c>
      <c r="B179" s="50">
        <v>585</v>
      </c>
      <c r="C179" s="51">
        <v>52.194619996500123</v>
      </c>
      <c r="D179" s="51">
        <v>64.922857427968694</v>
      </c>
      <c r="M179"/>
    </row>
    <row r="180" spans="1:13" ht="15" x14ac:dyDescent="0.25">
      <c r="M180"/>
    </row>
    <row r="181" spans="1:13" ht="15" x14ac:dyDescent="0.25">
      <c r="A181" s="52" t="s">
        <v>997</v>
      </c>
      <c r="B181" s="53"/>
      <c r="C181" s="53"/>
      <c r="D181" s="53"/>
      <c r="M181"/>
    </row>
    <row r="183" spans="1:13" ht="16.5" thickBot="1" x14ac:dyDescent="0.3"/>
    <row r="184" spans="1:13" thickBot="1" x14ac:dyDescent="0.3">
      <c r="A184" s="162" t="s">
        <v>998</v>
      </c>
      <c r="B184" s="163"/>
      <c r="C184" s="163"/>
      <c r="D184" s="164"/>
      <c r="M184"/>
    </row>
    <row r="185" spans="1:13" ht="30.75" thickBot="1" x14ac:dyDescent="0.3">
      <c r="A185" s="43" t="s">
        <v>956</v>
      </c>
      <c r="B185" s="44" t="s">
        <v>957</v>
      </c>
      <c r="C185" s="44" t="s">
        <v>958</v>
      </c>
      <c r="D185" s="44" t="s">
        <v>959</v>
      </c>
      <c r="M185"/>
    </row>
    <row r="186" spans="1:13" thickBot="1" x14ac:dyDescent="0.3">
      <c r="A186" s="45" t="s">
        <v>961</v>
      </c>
      <c r="B186" s="46">
        <v>152</v>
      </c>
      <c r="C186" s="47">
        <v>39.716644736842106</v>
      </c>
      <c r="D186" s="47">
        <v>49.483041989222812</v>
      </c>
      <c r="M186"/>
    </row>
    <row r="187" spans="1:13" thickBot="1" x14ac:dyDescent="0.3">
      <c r="A187" s="45" t="s">
        <v>962</v>
      </c>
      <c r="B187" s="46">
        <v>26</v>
      </c>
      <c r="C187" s="47">
        <v>107.01135772792024</v>
      </c>
      <c r="D187" s="47">
        <v>132.4902524250441</v>
      </c>
      <c r="M187"/>
    </row>
    <row r="188" spans="1:13" thickBot="1" x14ac:dyDescent="0.3">
      <c r="A188" s="45" t="s">
        <v>984</v>
      </c>
      <c r="B188" s="46">
        <v>61</v>
      </c>
      <c r="C188" s="47">
        <v>23.194062689738914</v>
      </c>
      <c r="D188" s="47">
        <v>29.475788001543204</v>
      </c>
      <c r="M188"/>
    </row>
    <row r="189" spans="1:13" ht="30.75" thickBot="1" x14ac:dyDescent="0.3">
      <c r="A189" s="48" t="s">
        <v>964</v>
      </c>
      <c r="B189" s="46">
        <v>97</v>
      </c>
      <c r="C189" s="47">
        <v>29.004989738449787</v>
      </c>
      <c r="D189" s="47">
        <v>34.734370427526287</v>
      </c>
      <c r="M189"/>
    </row>
    <row r="190" spans="1:13" thickBot="1" x14ac:dyDescent="0.3">
      <c r="A190" s="45" t="s">
        <v>965</v>
      </c>
      <c r="B190" s="46">
        <v>131</v>
      </c>
      <c r="C190" s="47">
        <v>116.81301155640368</v>
      </c>
      <c r="D190" s="47">
        <v>141.68985661008224</v>
      </c>
      <c r="M190"/>
    </row>
    <row r="191" spans="1:13" thickBot="1" x14ac:dyDescent="0.3">
      <c r="A191" s="49" t="s">
        <v>966</v>
      </c>
      <c r="B191" s="50">
        <v>467</v>
      </c>
      <c r="C191" s="51">
        <v>63.15</v>
      </c>
      <c r="D191" s="51">
        <v>77.569999999999993</v>
      </c>
      <c r="M191"/>
    </row>
    <row r="192" spans="1:13" ht="15" x14ac:dyDescent="0.25">
      <c r="M192"/>
    </row>
    <row r="193" spans="1:56" ht="15" x14ac:dyDescent="0.25">
      <c r="A193" s="52" t="s">
        <v>999</v>
      </c>
      <c r="B193" s="56"/>
      <c r="C193" s="56"/>
      <c r="D193" s="56"/>
      <c r="M193"/>
    </row>
    <row r="194" spans="1:56" ht="15" x14ac:dyDescent="0.25">
      <c r="A194" s="52"/>
      <c r="B194" s="56"/>
      <c r="C194" s="56"/>
      <c r="D194" s="56"/>
      <c r="M194"/>
    </row>
    <row r="195" spans="1:56" thickBot="1" x14ac:dyDescent="0.3">
      <c r="A195" s="52"/>
      <c r="B195" s="56"/>
      <c r="C195" s="56"/>
      <c r="D195" s="56"/>
      <c r="M195"/>
    </row>
    <row r="196" spans="1:56" thickBot="1" x14ac:dyDescent="0.3">
      <c r="A196" s="162" t="s">
        <v>1000</v>
      </c>
      <c r="B196" s="163"/>
      <c r="C196" s="163"/>
      <c r="D196" s="164"/>
      <c r="M196"/>
    </row>
    <row r="197" spans="1:56" ht="30.75" thickBot="1" x14ac:dyDescent="0.3">
      <c r="A197" s="43" t="s">
        <v>956</v>
      </c>
      <c r="B197" s="44" t="s">
        <v>957</v>
      </c>
      <c r="C197" s="44" t="s">
        <v>958</v>
      </c>
      <c r="D197" s="44" t="s">
        <v>959</v>
      </c>
      <c r="M197"/>
    </row>
    <row r="198" spans="1:56" thickBot="1" x14ac:dyDescent="0.3">
      <c r="A198" s="45" t="s">
        <v>961</v>
      </c>
      <c r="B198" s="46">
        <v>151</v>
      </c>
      <c r="C198" s="47">
        <v>27.511871550772629</v>
      </c>
      <c r="D198" s="47">
        <v>34.619105034722224</v>
      </c>
      <c r="M198"/>
    </row>
    <row r="199" spans="1:56" thickBot="1" x14ac:dyDescent="0.3">
      <c r="A199" s="45" t="s">
        <v>962</v>
      </c>
      <c r="B199" s="46">
        <v>39</v>
      </c>
      <c r="C199" s="47">
        <v>84.234131647673323</v>
      </c>
      <c r="D199" s="47">
        <v>113.28038393997448</v>
      </c>
      <c r="M199"/>
    </row>
    <row r="200" spans="1:56" thickBot="1" x14ac:dyDescent="0.3">
      <c r="A200" s="45" t="s">
        <v>984</v>
      </c>
      <c r="B200" s="46">
        <v>65</v>
      </c>
      <c r="C200" s="47">
        <v>9.2401997863247853</v>
      </c>
      <c r="D200" s="47">
        <v>12.51277054398148</v>
      </c>
      <c r="M200"/>
    </row>
    <row r="201" spans="1:56" ht="30.75" thickBot="1" x14ac:dyDescent="0.3">
      <c r="A201" s="48" t="s">
        <v>964</v>
      </c>
      <c r="B201" s="46">
        <v>121</v>
      </c>
      <c r="C201" s="47">
        <v>18.484902050811133</v>
      </c>
      <c r="D201" s="47">
        <v>25.131158967956708</v>
      </c>
      <c r="M201"/>
    </row>
    <row r="202" spans="1:56" thickBot="1" x14ac:dyDescent="0.3">
      <c r="A202" s="45" t="s">
        <v>965</v>
      </c>
      <c r="B202" s="46">
        <v>124</v>
      </c>
      <c r="C202" s="47">
        <v>90.76893770534646</v>
      </c>
      <c r="D202" s="47">
        <v>112.5534827546296</v>
      </c>
      <c r="M202"/>
    </row>
    <row r="203" spans="1:56" thickBot="1" x14ac:dyDescent="0.3">
      <c r="A203" s="49" t="s">
        <v>966</v>
      </c>
      <c r="B203" s="50">
        <v>500</v>
      </c>
      <c r="C203" s="51">
        <v>46.05</v>
      </c>
      <c r="D203" s="51">
        <v>59.62</v>
      </c>
      <c r="M203"/>
    </row>
    <row r="204" spans="1:56" ht="15" x14ac:dyDescent="0.25">
      <c r="M204"/>
    </row>
    <row r="205" spans="1:56" ht="15" x14ac:dyDescent="0.25">
      <c r="A205" s="52" t="s">
        <v>1001</v>
      </c>
      <c r="B205" s="56"/>
      <c r="C205" s="56"/>
      <c r="D205" s="56"/>
      <c r="M205"/>
    </row>
    <row r="207" spans="1:56" ht="16.5" thickBot="1" x14ac:dyDescent="0.3"/>
    <row r="208" spans="1:56" ht="16.5" thickBot="1" x14ac:dyDescent="0.3">
      <c r="A208" s="156" t="s">
        <v>1002</v>
      </c>
      <c r="B208" s="157"/>
      <c r="C208" s="157"/>
      <c r="D208" s="157"/>
      <c r="E208" s="157"/>
      <c r="F208" s="157"/>
      <c r="G208" s="157"/>
      <c r="H208" s="158"/>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ht="15.6" customHeight="1" thickBot="1" x14ac:dyDescent="0.3">
      <c r="A209" s="159" t="s">
        <v>1003</v>
      </c>
      <c r="B209" s="160"/>
      <c r="C209" s="160"/>
      <c r="D209" s="160"/>
      <c r="E209" s="160"/>
      <c r="F209" s="160"/>
      <c r="G209" s="160"/>
      <c r="H209" s="161"/>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ht="16.5" thickBot="1" x14ac:dyDescent="0.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ht="16.5" thickBot="1" x14ac:dyDescent="0.3">
      <c r="A211" s="156" t="s">
        <v>1004</v>
      </c>
      <c r="B211" s="157"/>
      <c r="C211" s="157"/>
      <c r="D211" s="157"/>
      <c r="E211" s="157"/>
      <c r="F211" s="157"/>
      <c r="G211" s="157"/>
      <c r="H211" s="158"/>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ht="16.5" thickBot="1" x14ac:dyDescent="0.3">
      <c r="A212" s="153" t="s">
        <v>1005</v>
      </c>
      <c r="B212" s="154"/>
      <c r="C212" s="154"/>
      <c r="D212" s="154"/>
      <c r="E212" s="154"/>
      <c r="F212" s="154"/>
      <c r="G212" s="154"/>
      <c r="H212" s="155"/>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60"/>
      <c r="B213" s="60"/>
      <c r="C213" s="60"/>
      <c r="D213" s="60"/>
      <c r="E213" s="60"/>
      <c r="F213" s="60"/>
      <c r="G213" s="60"/>
      <c r="H213" s="60"/>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60"/>
      <c r="B214" s="60"/>
      <c r="C214" s="60"/>
      <c r="D214" s="60"/>
      <c r="E214" s="60"/>
      <c r="F214" s="60"/>
      <c r="G214" s="60"/>
      <c r="H214" s="60"/>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60"/>
      <c r="B215" s="60"/>
      <c r="C215" s="60"/>
      <c r="D215" s="60"/>
      <c r="E215" s="60"/>
      <c r="F215" s="60"/>
      <c r="G215" s="60"/>
      <c r="H215" s="60"/>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5"/>
      <c r="B216" s="15"/>
      <c r="C216" s="15"/>
      <c r="D216" s="15"/>
      <c r="E216" s="60"/>
      <c r="F216" s="60"/>
      <c r="G216" s="60"/>
      <c r="H216" s="60"/>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5"/>
      <c r="B217" s="15"/>
      <c r="C217" s="15"/>
      <c r="D217" s="15"/>
      <c r="E217" s="60"/>
      <c r="F217" s="60"/>
      <c r="G217" s="60"/>
      <c r="H217" s="60"/>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5"/>
      <c r="B218" s="15"/>
      <c r="C218" s="15"/>
      <c r="D218" s="15"/>
      <c r="E218" s="60"/>
      <c r="F218" s="60"/>
      <c r="G218" s="60"/>
      <c r="H218" s="60"/>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5"/>
      <c r="B219" s="15"/>
      <c r="C219" s="15"/>
      <c r="D219" s="15"/>
      <c r="E219" s="60"/>
      <c r="F219" s="60"/>
      <c r="G219" s="60"/>
      <c r="H219" s="60"/>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5"/>
      <c r="B220" s="15"/>
      <c r="C220" s="15"/>
      <c r="D220" s="15"/>
      <c r="E220" s="60"/>
      <c r="F220" s="60"/>
      <c r="G220" s="60"/>
      <c r="H220" s="60"/>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5"/>
      <c r="B221" s="15"/>
      <c r="C221" s="15"/>
      <c r="D221" s="15"/>
      <c r="E221" s="60"/>
      <c r="F221" s="60"/>
      <c r="G221" s="60"/>
      <c r="H221" s="60"/>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5"/>
      <c r="B222" s="15"/>
      <c r="C222" s="15"/>
      <c r="D222" s="15"/>
      <c r="E222" s="60"/>
      <c r="F222" s="60"/>
      <c r="G222" s="60"/>
      <c r="H222" s="60"/>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5"/>
      <c r="B223" s="15"/>
      <c r="C223" s="15"/>
      <c r="D223" s="15"/>
      <c r="E223" s="60"/>
      <c r="F223" s="60"/>
      <c r="G223" s="60"/>
      <c r="H223" s="60"/>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5"/>
      <c r="B224" s="15"/>
      <c r="C224" s="15"/>
      <c r="D224" s="15"/>
      <c r="E224" s="60"/>
      <c r="F224" s="60"/>
      <c r="G224" s="60"/>
      <c r="H224" s="60"/>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5"/>
      <c r="B225" s="15"/>
      <c r="C225" s="15"/>
      <c r="D225" s="15"/>
      <c r="E225" s="60"/>
      <c r="F225" s="60"/>
      <c r="G225" s="60"/>
      <c r="H225" s="60"/>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5"/>
      <c r="B226" s="15"/>
      <c r="C226" s="15"/>
      <c r="D226" s="15"/>
      <c r="E226" s="60"/>
      <c r="F226" s="60"/>
      <c r="G226" s="60"/>
      <c r="H226" s="60"/>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5"/>
      <c r="B227" s="15"/>
      <c r="C227" s="15"/>
      <c r="D227" s="15"/>
      <c r="E227" s="60"/>
      <c r="F227" s="60"/>
      <c r="G227" s="60"/>
      <c r="H227" s="60"/>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5"/>
      <c r="B228" s="15"/>
      <c r="C228" s="15"/>
      <c r="D228" s="15"/>
      <c r="E228" s="60"/>
      <c r="F228" s="60"/>
      <c r="G228" s="60"/>
      <c r="H228" s="60"/>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5"/>
      <c r="B229" s="15"/>
      <c r="C229" s="15"/>
      <c r="D229" s="15"/>
      <c r="E229" s="60"/>
      <c r="F229" s="60"/>
      <c r="G229" s="60"/>
      <c r="H229" s="60"/>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5"/>
      <c r="B230" s="15"/>
      <c r="C230" s="15"/>
      <c r="D230" s="15"/>
      <c r="E230" s="60"/>
      <c r="F230" s="60"/>
      <c r="G230" s="60"/>
      <c r="H230" s="60"/>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5"/>
      <c r="B231" s="15"/>
      <c r="C231" s="15"/>
      <c r="D231" s="15"/>
      <c r="E231" s="60"/>
      <c r="F231" s="60"/>
      <c r="G231" s="60"/>
      <c r="H231" s="60"/>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5"/>
      <c r="B232" s="15"/>
      <c r="C232" s="15"/>
      <c r="D232" s="15"/>
      <c r="E232" s="60"/>
      <c r="F232" s="60"/>
      <c r="G232" s="60"/>
      <c r="H232" s="60"/>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5"/>
      <c r="B233" s="15"/>
      <c r="C233" s="15"/>
      <c r="D233" s="15"/>
      <c r="E233" s="60"/>
      <c r="F233" s="60"/>
      <c r="G233" s="60"/>
      <c r="H233" s="60"/>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5"/>
      <c r="B234" s="15"/>
      <c r="C234" s="15"/>
      <c r="D234" s="15"/>
      <c r="E234" s="60"/>
      <c r="F234" s="60"/>
      <c r="G234" s="60"/>
      <c r="H234" s="60"/>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5"/>
      <c r="B235" s="15"/>
      <c r="C235" s="15"/>
      <c r="D235" s="15"/>
      <c r="E235" s="60"/>
      <c r="F235" s="60"/>
      <c r="G235" s="60"/>
      <c r="H235" s="60"/>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5"/>
      <c r="B236" s="15"/>
      <c r="C236" s="15"/>
      <c r="D236" s="15"/>
      <c r="E236" s="60"/>
      <c r="F236" s="60"/>
      <c r="G236" s="60"/>
      <c r="H236" s="60"/>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5"/>
      <c r="B237" s="15"/>
      <c r="C237" s="15"/>
      <c r="D237" s="15"/>
      <c r="E237" s="60"/>
      <c r="F237" s="60"/>
      <c r="G237" s="60"/>
      <c r="H237" s="60"/>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5"/>
      <c r="B238" s="15"/>
      <c r="C238" s="15"/>
      <c r="D238" s="15"/>
      <c r="E238" s="60"/>
      <c r="F238" s="60"/>
      <c r="G238" s="60"/>
      <c r="H238" s="60"/>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5"/>
      <c r="B239" s="15"/>
      <c r="C239" s="15"/>
      <c r="D239" s="15"/>
      <c r="E239" s="60"/>
      <c r="F239" s="60"/>
      <c r="G239" s="60"/>
      <c r="H239" s="60"/>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5"/>
      <c r="B240" s="15"/>
      <c r="C240" s="15"/>
      <c r="D240" s="15"/>
      <c r="E240" s="60"/>
      <c r="F240" s="60"/>
      <c r="G240" s="60"/>
      <c r="H240" s="60"/>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5"/>
      <c r="B241" s="15"/>
      <c r="C241" s="15"/>
      <c r="D241" s="15"/>
      <c r="E241" s="60"/>
      <c r="F241" s="60"/>
      <c r="G241" s="60"/>
      <c r="H241" s="60"/>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5"/>
      <c r="B242" s="15"/>
      <c r="C242" s="15"/>
      <c r="D242" s="15"/>
      <c r="E242" s="60"/>
      <c r="F242" s="60"/>
      <c r="G242" s="60"/>
      <c r="H242" s="60"/>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5"/>
      <c r="B243" s="15"/>
      <c r="C243" s="15"/>
      <c r="D243" s="15"/>
      <c r="E243" s="60"/>
      <c r="F243" s="60"/>
      <c r="G243" s="60"/>
      <c r="H243" s="60"/>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5"/>
      <c r="B244" s="15"/>
      <c r="C244" s="15"/>
      <c r="D244" s="15"/>
      <c r="E244" s="60"/>
      <c r="F244" s="60"/>
      <c r="G244" s="60"/>
      <c r="H244" s="60"/>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5"/>
      <c r="B245" s="15"/>
      <c r="C245" s="15"/>
      <c r="D245" s="15"/>
      <c r="E245" s="60"/>
      <c r="F245" s="60"/>
      <c r="G245" s="60"/>
      <c r="H245" s="60"/>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5"/>
      <c r="B246" s="15"/>
      <c r="C246" s="15"/>
      <c r="D246" s="15"/>
      <c r="E246" s="60"/>
      <c r="F246" s="60"/>
      <c r="G246" s="60"/>
      <c r="H246" s="60"/>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5"/>
      <c r="B247" s="15"/>
      <c r="C247" s="15"/>
      <c r="D247" s="15"/>
      <c r="E247" s="60"/>
      <c r="F247" s="60"/>
      <c r="G247" s="60"/>
      <c r="H247" s="60"/>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5"/>
      <c r="B248" s="15"/>
      <c r="C248" s="15"/>
      <c r="D248" s="15"/>
      <c r="E248" s="60"/>
      <c r="F248" s="60"/>
      <c r="G248" s="60"/>
      <c r="H248" s="60"/>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5"/>
      <c r="B249" s="15"/>
      <c r="C249" s="15"/>
      <c r="D249" s="15"/>
      <c r="E249" s="60"/>
      <c r="F249" s="60"/>
      <c r="G249" s="60"/>
      <c r="H249" s="60"/>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5"/>
      <c r="B250" s="15"/>
      <c r="C250" s="15"/>
      <c r="D250" s="15"/>
      <c r="E250" s="60"/>
      <c r="F250" s="60"/>
      <c r="G250" s="60"/>
      <c r="H250" s="60"/>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25">
      <c r="A251" s="15"/>
      <c r="B251" s="15"/>
      <c r="C251" s="15"/>
      <c r="D251" s="15"/>
      <c r="E251" s="60"/>
      <c r="F251" s="60"/>
      <c r="G251" s="60"/>
      <c r="H251" s="60"/>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25">
      <c r="A252" s="15"/>
      <c r="B252" s="15"/>
      <c r="C252" s="15"/>
      <c r="D252" s="15"/>
      <c r="E252" s="60"/>
      <c r="F252" s="60"/>
      <c r="G252" s="60"/>
      <c r="H252" s="60"/>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25">
      <c r="A253" s="15"/>
      <c r="B253" s="15"/>
      <c r="C253" s="15"/>
      <c r="D253" s="15"/>
      <c r="E253" s="60"/>
      <c r="F253" s="60"/>
      <c r="G253" s="60"/>
      <c r="H253" s="60"/>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25">
      <c r="A254" s="15"/>
      <c r="B254" s="15"/>
      <c r="C254" s="15"/>
      <c r="D254" s="15"/>
      <c r="E254" s="60"/>
      <c r="F254" s="60"/>
      <c r="G254" s="60"/>
      <c r="H254" s="60"/>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25">
      <c r="A255" s="15"/>
      <c r="B255" s="15"/>
      <c r="C255" s="15"/>
      <c r="D255" s="15"/>
      <c r="E255" s="60"/>
      <c r="F255" s="60"/>
      <c r="G255" s="60"/>
      <c r="H255" s="60"/>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25">
      <c r="A256" s="15"/>
      <c r="B256" s="15"/>
      <c r="C256" s="15"/>
      <c r="D256" s="15"/>
      <c r="E256" s="60"/>
      <c r="F256" s="60"/>
      <c r="G256" s="60"/>
      <c r="H256" s="60"/>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25">
      <c r="A257" s="15"/>
      <c r="B257" s="15"/>
      <c r="C257" s="15"/>
      <c r="D257" s="15"/>
      <c r="E257" s="60"/>
      <c r="F257" s="60"/>
      <c r="G257" s="60"/>
      <c r="H257" s="60"/>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25">
      <c r="A258" s="15"/>
      <c r="B258" s="15"/>
      <c r="C258" s="15"/>
      <c r="D258" s="15"/>
      <c r="E258" s="60"/>
      <c r="F258" s="60"/>
      <c r="G258" s="60"/>
      <c r="H258" s="60"/>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25">
      <c r="A259" s="15"/>
      <c r="B259" s="15"/>
      <c r="C259" s="15"/>
      <c r="D259" s="15"/>
      <c r="E259" s="60"/>
      <c r="F259" s="60"/>
      <c r="G259" s="60"/>
      <c r="H259" s="60"/>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25">
      <c r="A260" s="15"/>
      <c r="B260" s="15"/>
      <c r="C260" s="15"/>
      <c r="D260" s="15"/>
      <c r="E260" s="60"/>
      <c r="F260" s="60"/>
      <c r="G260" s="60"/>
      <c r="H260" s="60"/>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25">
      <c r="A261" s="15"/>
      <c r="B261" s="15"/>
      <c r="C261" s="15"/>
      <c r="D261" s="15"/>
      <c r="E261" s="60"/>
      <c r="F261" s="60"/>
      <c r="G261" s="60"/>
      <c r="H261" s="60"/>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25">
      <c r="A262" s="15"/>
      <c r="B262" s="15"/>
      <c r="C262" s="15"/>
      <c r="D262" s="15"/>
      <c r="E262" s="60"/>
      <c r="F262" s="60"/>
      <c r="G262" s="60"/>
      <c r="H262" s="60"/>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25">
      <c r="A263" s="15"/>
      <c r="B263" s="15"/>
      <c r="C263" s="15"/>
      <c r="D263" s="15"/>
      <c r="E263" s="60"/>
      <c r="F263" s="60"/>
      <c r="G263" s="60"/>
      <c r="H263" s="60"/>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25">
      <c r="A264" s="15"/>
      <c r="B264" s="15"/>
      <c r="C264" s="15"/>
      <c r="D264" s="15"/>
      <c r="E264" s="60"/>
      <c r="F264" s="60"/>
      <c r="G264" s="60"/>
      <c r="H264" s="60"/>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25">
      <c r="A265" s="15"/>
      <c r="B265" s="15"/>
      <c r="C265" s="15"/>
      <c r="D265" s="15"/>
      <c r="E265" s="60"/>
      <c r="F265" s="60"/>
      <c r="G265" s="60"/>
      <c r="H265" s="60"/>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25">
      <c r="A266" s="15"/>
      <c r="B266" s="15"/>
      <c r="C266" s="15"/>
      <c r="D266" s="15"/>
      <c r="E266" s="60"/>
      <c r="F266" s="60"/>
      <c r="G266" s="60"/>
      <c r="H266" s="60"/>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25">
      <c r="A267" s="15"/>
      <c r="B267" s="15"/>
      <c r="C267" s="15"/>
      <c r="D267" s="15"/>
      <c r="E267" s="60"/>
      <c r="F267" s="60"/>
      <c r="G267" s="60"/>
      <c r="H267" s="60"/>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25">
      <c r="A268" s="15"/>
      <c r="B268" s="15"/>
      <c r="C268" s="15"/>
      <c r="D268" s="15"/>
      <c r="E268" s="60"/>
      <c r="F268" s="60"/>
      <c r="G268" s="60"/>
      <c r="H268" s="60"/>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25">
      <c r="A269" s="15"/>
      <c r="B269" s="15"/>
      <c r="C269" s="15"/>
      <c r="D269" s="15"/>
      <c r="E269" s="60"/>
      <c r="F269" s="60"/>
      <c r="G269" s="60"/>
      <c r="H269" s="60"/>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25">
      <c r="A270" s="15"/>
      <c r="B270" s="15"/>
      <c r="C270" s="15"/>
      <c r="D270" s="15"/>
      <c r="E270" s="60"/>
      <c r="F270" s="60"/>
      <c r="G270" s="60"/>
      <c r="H270" s="60"/>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25">
      <c r="A271" s="15"/>
      <c r="B271" s="15"/>
      <c r="C271" s="15"/>
      <c r="D271" s="15"/>
      <c r="E271" s="60"/>
      <c r="F271" s="60"/>
      <c r="G271" s="60"/>
      <c r="H271" s="60"/>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25">
      <c r="A272" s="15"/>
      <c r="B272" s="15"/>
      <c r="C272" s="15"/>
      <c r="D272" s="15"/>
      <c r="E272" s="60"/>
      <c r="F272" s="60"/>
      <c r="G272" s="60"/>
      <c r="H272" s="60"/>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25">
      <c r="A273" s="15"/>
      <c r="B273" s="15"/>
      <c r="C273" s="15"/>
      <c r="D273" s="15"/>
      <c r="E273" s="60"/>
      <c r="F273" s="60"/>
      <c r="G273" s="60"/>
      <c r="H273" s="60"/>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25">
      <c r="A274" s="15"/>
      <c r="B274" s="15"/>
      <c r="C274" s="15"/>
      <c r="D274" s="15"/>
      <c r="E274" s="60"/>
      <c r="F274" s="60"/>
      <c r="G274" s="60"/>
      <c r="H274" s="60"/>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25">
      <c r="A275" s="15"/>
      <c r="B275" s="15"/>
      <c r="C275" s="15"/>
      <c r="D275" s="15"/>
      <c r="E275" s="60"/>
      <c r="F275" s="60"/>
      <c r="G275" s="60"/>
      <c r="H275" s="60"/>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25">
      <c r="A276" s="15"/>
      <c r="B276" s="15"/>
      <c r="C276" s="15"/>
      <c r="D276" s="15"/>
      <c r="E276" s="60"/>
      <c r="F276" s="60"/>
      <c r="G276" s="60"/>
      <c r="H276" s="60"/>
      <c r="I276" s="3"/>
      <c r="J276" s="3"/>
      <c r="K276" s="3"/>
      <c r="L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x14ac:dyDescent="0.25">
      <c r="A277" s="15"/>
      <c r="B277" s="15"/>
      <c r="C277" s="15"/>
      <c r="D277" s="15"/>
      <c r="E277" s="60"/>
      <c r="F277" s="60"/>
      <c r="G277" s="60"/>
      <c r="H277" s="60"/>
      <c r="I277" s="3"/>
      <c r="J277" s="3"/>
      <c r="K277" s="3"/>
      <c r="L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x14ac:dyDescent="0.25">
      <c r="A278" s="15"/>
      <c r="B278" s="15"/>
      <c r="C278" s="15"/>
      <c r="D278" s="15"/>
      <c r="E278" s="60"/>
      <c r="F278" s="60"/>
      <c r="G278" s="60"/>
      <c r="H278" s="60"/>
      <c r="I278" s="3"/>
      <c r="J278" s="3"/>
      <c r="K278" s="3"/>
      <c r="L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x14ac:dyDescent="0.25">
      <c r="A279" s="15"/>
      <c r="B279" s="15"/>
      <c r="C279" s="15"/>
      <c r="D279" s="15"/>
      <c r="E279" s="60"/>
      <c r="F279" s="60"/>
      <c r="G279" s="60"/>
      <c r="H279" s="60"/>
      <c r="I279" s="3"/>
      <c r="J279" s="3"/>
      <c r="K279" s="3"/>
      <c r="L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x14ac:dyDescent="0.25">
      <c r="A280" s="15"/>
      <c r="B280" s="15"/>
      <c r="C280" s="15"/>
      <c r="D280" s="15"/>
      <c r="E280" s="60"/>
      <c r="F280" s="60"/>
      <c r="G280" s="60"/>
      <c r="H280" s="60"/>
      <c r="I280" s="3"/>
      <c r="J280" s="3"/>
      <c r="K280" s="3"/>
      <c r="L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x14ac:dyDescent="0.25">
      <c r="A281" s="15"/>
      <c r="B281" s="15"/>
      <c r="C281" s="15"/>
      <c r="D281" s="15"/>
      <c r="E281" s="60"/>
      <c r="F281" s="60"/>
      <c r="G281" s="60"/>
      <c r="H281" s="60"/>
      <c r="I281" s="3"/>
      <c r="J281" s="3"/>
      <c r="K281" s="3"/>
      <c r="L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x14ac:dyDescent="0.25">
      <c r="A282" s="15"/>
      <c r="B282" s="15"/>
      <c r="C282" s="15"/>
      <c r="D282" s="15"/>
      <c r="E282" s="60"/>
      <c r="F282" s="60"/>
      <c r="G282" s="60"/>
      <c r="H282" s="60"/>
      <c r="I282" s="3"/>
      <c r="J282" s="3"/>
      <c r="K282" s="3"/>
      <c r="L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x14ac:dyDescent="0.25">
      <c r="A283" s="15"/>
      <c r="B283" s="15"/>
      <c r="C283" s="15"/>
      <c r="D283" s="15"/>
      <c r="E283" s="60"/>
      <c r="F283" s="60"/>
      <c r="G283" s="60"/>
      <c r="H283" s="60"/>
      <c r="I283" s="3"/>
      <c r="J283" s="3"/>
      <c r="K283" s="3"/>
      <c r="L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x14ac:dyDescent="0.25">
      <c r="A284" s="15"/>
      <c r="B284" s="15"/>
      <c r="C284" s="15"/>
      <c r="D284" s="15"/>
      <c r="E284" s="60"/>
      <c r="F284" s="60"/>
      <c r="G284" s="60"/>
      <c r="H284" s="60"/>
      <c r="I284" s="3"/>
      <c r="J284" s="3"/>
      <c r="K284" s="3"/>
      <c r="L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x14ac:dyDescent="0.25">
      <c r="A285" s="15"/>
      <c r="B285" s="15"/>
      <c r="C285" s="15"/>
      <c r="D285" s="15"/>
      <c r="E285" s="60"/>
      <c r="F285" s="60"/>
      <c r="G285" s="60"/>
      <c r="H285" s="60"/>
      <c r="I285" s="3"/>
      <c r="J285" s="3"/>
      <c r="K285" s="3"/>
      <c r="L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x14ac:dyDescent="0.25">
      <c r="A286" s="15"/>
      <c r="B286" s="15"/>
      <c r="C286" s="15"/>
      <c r="D286" s="15"/>
      <c r="E286" s="60"/>
      <c r="F286" s="60"/>
      <c r="G286" s="60"/>
      <c r="H286" s="60"/>
      <c r="I286" s="3"/>
      <c r="J286" s="3"/>
      <c r="K286" s="3"/>
      <c r="L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x14ac:dyDescent="0.25">
      <c r="A287" s="15"/>
      <c r="B287" s="15"/>
      <c r="C287" s="15"/>
      <c r="D287" s="15"/>
      <c r="E287" s="60"/>
      <c r="F287" s="60"/>
      <c r="G287" s="60"/>
      <c r="H287" s="60"/>
      <c r="I287" s="3"/>
      <c r="J287" s="3"/>
      <c r="K287" s="3"/>
      <c r="L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x14ac:dyDescent="0.25">
      <c r="A288" s="15"/>
      <c r="B288" s="15"/>
      <c r="C288" s="15"/>
      <c r="D288" s="15"/>
      <c r="E288" s="60"/>
      <c r="F288" s="60"/>
      <c r="G288" s="60"/>
      <c r="H288" s="60"/>
      <c r="I288" s="3"/>
      <c r="J288" s="3"/>
      <c r="K288" s="3"/>
      <c r="L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x14ac:dyDescent="0.25">
      <c r="A289" s="15"/>
      <c r="B289" s="15"/>
      <c r="C289" s="15"/>
      <c r="D289" s="15"/>
      <c r="E289" s="60"/>
      <c r="F289" s="60"/>
      <c r="G289" s="60"/>
      <c r="H289" s="60"/>
      <c r="I289" s="3"/>
      <c r="J289" s="3"/>
      <c r="K289" s="3"/>
      <c r="L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x14ac:dyDescent="0.25">
      <c r="A290" s="15"/>
      <c r="B290" s="15"/>
      <c r="C290" s="15"/>
      <c r="D290" s="15"/>
      <c r="E290" s="60"/>
      <c r="F290" s="60"/>
      <c r="G290" s="60"/>
      <c r="H290" s="60"/>
      <c r="I290" s="3"/>
      <c r="J290" s="3"/>
      <c r="K290" s="3"/>
      <c r="L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x14ac:dyDescent="0.25">
      <c r="A291" s="15"/>
      <c r="B291" s="15"/>
      <c r="C291" s="15"/>
      <c r="D291" s="15"/>
      <c r="E291" s="60"/>
      <c r="F291" s="60"/>
      <c r="G291" s="60"/>
      <c r="H291" s="60"/>
      <c r="I291" s="3"/>
      <c r="J291" s="3"/>
      <c r="K291" s="3"/>
      <c r="L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x14ac:dyDescent="0.25">
      <c r="A292" s="15"/>
      <c r="B292" s="15"/>
      <c r="C292" s="15"/>
      <c r="D292" s="15"/>
      <c r="E292" s="60"/>
      <c r="F292" s="60"/>
      <c r="G292" s="60"/>
      <c r="H292" s="60"/>
      <c r="I292" s="3"/>
      <c r="J292" s="3"/>
      <c r="K292" s="3"/>
      <c r="L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x14ac:dyDescent="0.25">
      <c r="A293" s="15"/>
      <c r="B293" s="15"/>
      <c r="C293" s="15"/>
      <c r="D293" s="15"/>
      <c r="E293" s="60"/>
      <c r="F293" s="60"/>
      <c r="G293" s="60"/>
      <c r="H293" s="60"/>
      <c r="I293" s="3"/>
      <c r="J293" s="3"/>
      <c r="K293" s="3"/>
      <c r="L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x14ac:dyDescent="0.25">
      <c r="A294" s="15"/>
      <c r="B294" s="15"/>
      <c r="C294" s="15"/>
      <c r="D294" s="15"/>
      <c r="E294" s="60"/>
      <c r="F294" s="60"/>
      <c r="G294" s="60"/>
      <c r="H294" s="60"/>
      <c r="I294" s="3"/>
      <c r="J294" s="3"/>
      <c r="K294" s="3"/>
      <c r="L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x14ac:dyDescent="0.25">
      <c r="A295" s="15"/>
      <c r="B295" s="15"/>
      <c r="C295" s="15"/>
      <c r="D295" s="15"/>
      <c r="E295" s="60"/>
      <c r="F295" s="60"/>
      <c r="G295" s="60"/>
      <c r="H295" s="60"/>
      <c r="I295" s="3"/>
      <c r="J295" s="3"/>
      <c r="K295" s="3"/>
      <c r="L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x14ac:dyDescent="0.25">
      <c r="A296" s="15"/>
      <c r="B296" s="15"/>
      <c r="C296" s="15"/>
      <c r="D296" s="15"/>
      <c r="E296" s="60"/>
      <c r="F296" s="60"/>
      <c r="G296" s="60"/>
      <c r="H296" s="60"/>
      <c r="I296" s="3"/>
      <c r="J296" s="3"/>
      <c r="K296" s="3"/>
      <c r="L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x14ac:dyDescent="0.25">
      <c r="A297" s="15"/>
      <c r="B297" s="15"/>
      <c r="C297" s="15"/>
      <c r="D297" s="15"/>
      <c r="E297" s="60"/>
      <c r="F297" s="60"/>
      <c r="G297" s="60"/>
      <c r="H297" s="60"/>
      <c r="I297" s="3"/>
      <c r="J297" s="3"/>
      <c r="K297" s="3"/>
      <c r="L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x14ac:dyDescent="0.25">
      <c r="A298" s="15"/>
      <c r="B298" s="15"/>
      <c r="C298" s="15"/>
      <c r="D298" s="15"/>
      <c r="E298" s="60"/>
      <c r="F298" s="60"/>
      <c r="G298" s="60"/>
      <c r="H298" s="60"/>
      <c r="I298" s="3"/>
      <c r="J298" s="3"/>
      <c r="K298" s="3"/>
      <c r="L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row>
    <row r="299" spans="1:56" x14ac:dyDescent="0.25">
      <c r="A299" s="15"/>
      <c r="B299" s="15"/>
      <c r="C299" s="15"/>
      <c r="D299" s="15"/>
      <c r="E299" s="60"/>
      <c r="F299" s="60"/>
      <c r="G299" s="60"/>
      <c r="H299" s="60"/>
      <c r="I299" s="3"/>
      <c r="J299" s="3"/>
      <c r="K299" s="3"/>
      <c r="L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row>
    <row r="300" spans="1:56" x14ac:dyDescent="0.25">
      <c r="A300" s="15"/>
      <c r="B300" s="15"/>
      <c r="C300" s="15"/>
      <c r="D300" s="15"/>
      <c r="E300" s="60"/>
      <c r="F300" s="60"/>
      <c r="G300" s="60"/>
      <c r="H300" s="60"/>
      <c r="I300" s="3"/>
      <c r="J300" s="3"/>
      <c r="K300" s="3"/>
      <c r="L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row>
    <row r="301" spans="1:56" x14ac:dyDescent="0.25">
      <c r="A301" s="15"/>
      <c r="B301" s="15"/>
      <c r="C301" s="15"/>
      <c r="D301" s="15"/>
      <c r="E301" s="60"/>
      <c r="F301" s="60"/>
      <c r="G301" s="60"/>
      <c r="H301" s="60"/>
      <c r="I301" s="3"/>
      <c r="J301" s="3"/>
      <c r="K301" s="3"/>
      <c r="L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row>
    <row r="302" spans="1:56" x14ac:dyDescent="0.25">
      <c r="A302" s="15"/>
      <c r="B302" s="15"/>
      <c r="C302" s="15"/>
      <c r="D302" s="15"/>
      <c r="E302" s="60"/>
      <c r="F302" s="60"/>
      <c r="G302" s="60"/>
      <c r="H302" s="60"/>
      <c r="I302" s="3"/>
      <c r="J302" s="3"/>
      <c r="K302" s="3"/>
      <c r="L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row>
    <row r="303" spans="1:56" x14ac:dyDescent="0.25">
      <c r="A303" s="15"/>
      <c r="B303" s="15"/>
      <c r="C303" s="15"/>
      <c r="D303" s="15"/>
      <c r="E303" s="60"/>
      <c r="F303" s="60"/>
      <c r="G303" s="60"/>
      <c r="H303" s="60"/>
      <c r="I303" s="3"/>
      <c r="J303" s="3"/>
      <c r="K303" s="3"/>
      <c r="L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row>
    <row r="304" spans="1:56" x14ac:dyDescent="0.25">
      <c r="A304" s="15"/>
      <c r="B304" s="15"/>
      <c r="C304" s="15"/>
      <c r="D304" s="15"/>
      <c r="E304" s="60"/>
      <c r="F304" s="60"/>
      <c r="G304" s="60"/>
      <c r="H304" s="60"/>
      <c r="I304" s="3"/>
      <c r="J304" s="3"/>
      <c r="K304" s="3"/>
      <c r="L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row>
    <row r="305" spans="1:56" x14ac:dyDescent="0.25">
      <c r="A305" s="15"/>
      <c r="B305" s="15"/>
      <c r="C305" s="15"/>
      <c r="D305" s="15"/>
      <c r="E305" s="60"/>
      <c r="F305" s="60"/>
      <c r="G305" s="60"/>
      <c r="H305" s="60"/>
      <c r="I305" s="3"/>
      <c r="J305" s="3"/>
      <c r="K305" s="3"/>
      <c r="L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row>
    <row r="306" spans="1:56" x14ac:dyDescent="0.25">
      <c r="A306" s="15"/>
      <c r="B306" s="15"/>
      <c r="C306" s="15"/>
      <c r="D306" s="15"/>
      <c r="E306" s="60"/>
      <c r="F306" s="60"/>
      <c r="G306" s="60"/>
      <c r="H306" s="60"/>
      <c r="I306" s="3"/>
      <c r="J306" s="3"/>
      <c r="K306" s="3"/>
      <c r="L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row>
    <row r="307" spans="1:56" x14ac:dyDescent="0.25">
      <c r="A307" s="15"/>
      <c r="B307" s="15"/>
      <c r="C307" s="15"/>
      <c r="D307" s="15"/>
      <c r="E307" s="60"/>
      <c r="F307" s="60"/>
      <c r="G307" s="60"/>
      <c r="H307" s="60"/>
      <c r="I307" s="3"/>
      <c r="J307" s="3"/>
      <c r="K307" s="3"/>
      <c r="L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row>
    <row r="308" spans="1:56" x14ac:dyDescent="0.25">
      <c r="A308" s="15"/>
      <c r="B308" s="15"/>
      <c r="C308" s="15"/>
      <c r="D308" s="15"/>
      <c r="E308" s="60"/>
      <c r="F308" s="60"/>
      <c r="G308" s="60"/>
      <c r="H308" s="60"/>
      <c r="I308" s="3"/>
      <c r="J308" s="3"/>
      <c r="K308" s="3"/>
      <c r="L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row>
    <row r="309" spans="1:56" x14ac:dyDescent="0.25">
      <c r="A309" s="15"/>
      <c r="B309" s="15"/>
      <c r="C309" s="15"/>
      <c r="D309" s="15"/>
      <c r="E309" s="60"/>
      <c r="F309" s="60"/>
      <c r="G309" s="60"/>
      <c r="H309" s="60"/>
      <c r="I309" s="3"/>
      <c r="J309" s="3"/>
      <c r="K309" s="3"/>
      <c r="L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row>
    <row r="310" spans="1:56" x14ac:dyDescent="0.25">
      <c r="A310" s="15"/>
      <c r="B310" s="15"/>
      <c r="C310" s="15"/>
      <c r="D310" s="15"/>
      <c r="E310" s="60"/>
      <c r="F310" s="60"/>
      <c r="G310" s="60"/>
      <c r="H310" s="60"/>
      <c r="M310"/>
    </row>
    <row r="311" spans="1:56" x14ac:dyDescent="0.25">
      <c r="A311" s="15"/>
      <c r="B311" s="15"/>
      <c r="C311" s="15"/>
      <c r="D311" s="15"/>
      <c r="E311" s="60"/>
      <c r="F311" s="60"/>
      <c r="G311" s="60"/>
      <c r="H311" s="60"/>
      <c r="M311"/>
    </row>
    <row r="312" spans="1:56" x14ac:dyDescent="0.25">
      <c r="A312" s="15"/>
      <c r="B312" s="15"/>
      <c r="C312" s="15"/>
      <c r="D312" s="15"/>
      <c r="E312" s="60"/>
      <c r="F312" s="60"/>
      <c r="G312" s="60"/>
      <c r="H312" s="60"/>
    </row>
    <row r="313" spans="1:56" x14ac:dyDescent="0.25">
      <c r="A313" s="15"/>
      <c r="B313" s="15"/>
      <c r="C313" s="15"/>
      <c r="D313" s="15"/>
      <c r="E313" s="60"/>
      <c r="F313" s="60"/>
      <c r="G313" s="60"/>
      <c r="H313" s="60"/>
    </row>
    <row r="314" spans="1:56" x14ac:dyDescent="0.25">
      <c r="A314" s="15"/>
      <c r="B314" s="15"/>
      <c r="C314" s="15"/>
      <c r="D314" s="15"/>
      <c r="E314" s="60"/>
      <c r="F314" s="60"/>
      <c r="G314" s="60"/>
      <c r="H314" s="60"/>
    </row>
    <row r="315" spans="1:56" x14ac:dyDescent="0.25">
      <c r="A315" s="15"/>
      <c r="B315" s="15"/>
      <c r="C315" s="15"/>
      <c r="D315" s="15"/>
      <c r="E315" s="60"/>
      <c r="F315" s="60"/>
      <c r="G315" s="60"/>
      <c r="H315" s="60"/>
    </row>
    <row r="316" spans="1:56" x14ac:dyDescent="0.25">
      <c r="A316" s="15"/>
      <c r="B316" s="15"/>
      <c r="C316" s="15"/>
      <c r="D316" s="15"/>
      <c r="E316" s="60"/>
      <c r="F316" s="60"/>
      <c r="G316" s="60"/>
      <c r="H316" s="60"/>
    </row>
    <row r="317" spans="1:56" x14ac:dyDescent="0.25">
      <c r="A317" s="15"/>
      <c r="B317" s="15"/>
      <c r="C317" s="15"/>
      <c r="D317" s="15"/>
      <c r="E317" s="60"/>
      <c r="F317" s="60"/>
      <c r="G317" s="60"/>
      <c r="H317" s="60"/>
    </row>
    <row r="318" spans="1:56" x14ac:dyDescent="0.25">
      <c r="A318" s="15"/>
      <c r="B318" s="15"/>
      <c r="C318" s="15"/>
      <c r="D318" s="15"/>
      <c r="E318" s="60"/>
      <c r="F318" s="60"/>
      <c r="G318" s="60"/>
      <c r="H318" s="60"/>
    </row>
    <row r="319" spans="1:56" x14ac:dyDescent="0.25">
      <c r="A319" s="15"/>
      <c r="B319" s="15"/>
      <c r="C319" s="15"/>
      <c r="D319" s="15"/>
      <c r="E319" s="60"/>
      <c r="F319" s="60"/>
      <c r="G319" s="60"/>
      <c r="H319" s="60"/>
    </row>
    <row r="320" spans="1:56" x14ac:dyDescent="0.25">
      <c r="A320" s="15"/>
      <c r="B320" s="15"/>
      <c r="C320" s="15"/>
      <c r="D320" s="15"/>
      <c r="E320" s="60"/>
      <c r="F320" s="60"/>
      <c r="G320" s="60"/>
      <c r="H320" s="60"/>
    </row>
    <row r="321" spans="1:8" x14ac:dyDescent="0.25">
      <c r="A321" s="15"/>
      <c r="B321" s="15"/>
      <c r="C321" s="15"/>
      <c r="D321" s="15"/>
      <c r="E321" s="60"/>
      <c r="F321" s="60"/>
      <c r="G321" s="60"/>
      <c r="H321" s="60"/>
    </row>
    <row r="322" spans="1:8" x14ac:dyDescent="0.25">
      <c r="A322" s="15"/>
      <c r="B322" s="15"/>
      <c r="C322" s="15"/>
      <c r="D322" s="15"/>
      <c r="E322" s="60"/>
      <c r="F322" s="60"/>
      <c r="G322" s="60"/>
      <c r="H322" s="60"/>
    </row>
    <row r="323" spans="1:8" x14ac:dyDescent="0.25">
      <c r="A323" s="15"/>
      <c r="B323" s="15"/>
      <c r="C323" s="15"/>
      <c r="D323" s="15"/>
      <c r="E323" s="60"/>
      <c r="F323" s="60"/>
      <c r="G323" s="60"/>
      <c r="H323" s="60"/>
    </row>
    <row r="324" spans="1:8" x14ac:dyDescent="0.25">
      <c r="A324" s="15"/>
      <c r="B324" s="15"/>
      <c r="C324" s="15"/>
      <c r="D324" s="15"/>
      <c r="E324" s="60"/>
      <c r="F324" s="60"/>
      <c r="G324" s="60"/>
      <c r="H324" s="60"/>
    </row>
    <row r="325" spans="1:8" x14ac:dyDescent="0.25">
      <c r="A325" s="15"/>
      <c r="B325" s="15"/>
      <c r="C325" s="15"/>
      <c r="D325" s="15"/>
      <c r="E325" s="60"/>
      <c r="F325" s="60"/>
      <c r="G325" s="60"/>
      <c r="H325" s="60"/>
    </row>
    <row r="326" spans="1:8" x14ac:dyDescent="0.25">
      <c r="A326" s="15"/>
      <c r="B326" s="15"/>
      <c r="C326" s="15"/>
      <c r="D326" s="15"/>
      <c r="E326" s="60"/>
      <c r="F326" s="60"/>
      <c r="G326" s="60"/>
      <c r="H326" s="60"/>
    </row>
    <row r="327" spans="1:8" x14ac:dyDescent="0.25">
      <c r="A327" s="15"/>
      <c r="B327" s="15"/>
      <c r="C327" s="15"/>
      <c r="D327" s="15"/>
      <c r="E327" s="60"/>
      <c r="F327" s="60"/>
      <c r="G327" s="60"/>
      <c r="H327" s="60"/>
    </row>
    <row r="328" spans="1:8" x14ac:dyDescent="0.25">
      <c r="A328" s="15"/>
      <c r="B328" s="15"/>
      <c r="C328" s="15"/>
      <c r="D328" s="15"/>
      <c r="E328" s="60"/>
      <c r="F328" s="60"/>
      <c r="G328" s="60"/>
      <c r="H328" s="60"/>
    </row>
    <row r="329" spans="1:8" x14ac:dyDescent="0.25">
      <c r="A329" s="15"/>
      <c r="B329" s="15"/>
      <c r="C329" s="15"/>
      <c r="D329" s="15"/>
      <c r="E329" s="60"/>
      <c r="F329" s="60"/>
      <c r="G329" s="60"/>
      <c r="H329" s="60"/>
    </row>
    <row r="330" spans="1:8" x14ac:dyDescent="0.25">
      <c r="A330" s="15"/>
      <c r="B330" s="15"/>
      <c r="C330" s="15"/>
      <c r="D330" s="15"/>
      <c r="E330" s="60"/>
      <c r="F330" s="60"/>
      <c r="G330" s="60"/>
      <c r="H330" s="60"/>
    </row>
    <row r="331" spans="1:8" x14ac:dyDescent="0.25">
      <c r="A331" s="15"/>
      <c r="B331" s="15"/>
      <c r="C331" s="15"/>
      <c r="D331" s="15"/>
      <c r="E331" s="60"/>
      <c r="F331" s="60"/>
      <c r="G331" s="60"/>
      <c r="H331" s="60"/>
    </row>
    <row r="332" spans="1:8" x14ac:dyDescent="0.25">
      <c r="A332" s="15"/>
      <c r="B332" s="15"/>
      <c r="C332" s="15"/>
      <c r="D332" s="15"/>
      <c r="E332" s="60"/>
      <c r="F332" s="60"/>
      <c r="G332" s="60"/>
      <c r="H332" s="60"/>
    </row>
    <row r="333" spans="1:8" x14ac:dyDescent="0.25">
      <c r="A333" s="15"/>
      <c r="B333" s="15"/>
      <c r="C333" s="15"/>
      <c r="D333" s="15"/>
      <c r="E333" s="60"/>
      <c r="F333" s="60"/>
      <c r="G333" s="60"/>
      <c r="H333" s="60"/>
    </row>
    <row r="334" spans="1:8" x14ac:dyDescent="0.25">
      <c r="A334" s="15"/>
      <c r="B334" s="15"/>
      <c r="C334" s="15"/>
      <c r="D334" s="15"/>
      <c r="E334" s="60"/>
      <c r="F334" s="60"/>
      <c r="G334" s="60"/>
      <c r="H334" s="60"/>
    </row>
    <row r="335" spans="1:8" x14ac:dyDescent="0.25">
      <c r="A335" s="15"/>
      <c r="B335" s="15"/>
      <c r="C335" s="15"/>
      <c r="D335" s="15"/>
      <c r="E335" s="60"/>
      <c r="F335" s="60"/>
      <c r="G335" s="60"/>
      <c r="H335" s="60"/>
    </row>
    <row r="336" spans="1:8" x14ac:dyDescent="0.25">
      <c r="A336" s="15"/>
      <c r="B336" s="15"/>
      <c r="C336" s="15"/>
      <c r="D336" s="15"/>
      <c r="E336" s="60"/>
      <c r="F336" s="60"/>
      <c r="G336" s="60"/>
      <c r="H336" s="60"/>
    </row>
    <row r="337" spans="1:8" x14ac:dyDescent="0.25">
      <c r="A337" s="15"/>
      <c r="B337" s="15"/>
      <c r="C337" s="15"/>
      <c r="D337" s="15"/>
      <c r="E337" s="60"/>
      <c r="F337" s="60"/>
      <c r="G337" s="60"/>
      <c r="H337" s="60"/>
    </row>
    <row r="338" spans="1:8" x14ac:dyDescent="0.25">
      <c r="A338" s="15"/>
      <c r="B338" s="15"/>
      <c r="C338" s="15"/>
      <c r="D338" s="15"/>
      <c r="E338" s="60"/>
      <c r="F338" s="60"/>
      <c r="G338" s="60"/>
      <c r="H338" s="60"/>
    </row>
    <row r="339" spans="1:8" x14ac:dyDescent="0.25">
      <c r="A339" s="15"/>
      <c r="B339" s="15"/>
      <c r="C339" s="15"/>
      <c r="D339" s="15"/>
      <c r="E339" s="60"/>
      <c r="F339" s="60"/>
      <c r="G339" s="60"/>
      <c r="H339" s="60"/>
    </row>
    <row r="340" spans="1:8" x14ac:dyDescent="0.25">
      <c r="A340" s="15"/>
      <c r="B340" s="15"/>
      <c r="C340" s="15"/>
      <c r="D340" s="15"/>
      <c r="E340" s="60"/>
      <c r="F340" s="60"/>
      <c r="G340" s="60"/>
      <c r="H340" s="60"/>
    </row>
    <row r="341" spans="1:8" x14ac:dyDescent="0.25">
      <c r="A341" s="15"/>
      <c r="B341" s="15"/>
      <c r="C341" s="15"/>
      <c r="D341" s="15"/>
    </row>
    <row r="342" spans="1:8" x14ac:dyDescent="0.25">
      <c r="A342" s="15"/>
      <c r="B342" s="15"/>
      <c r="C342" s="15"/>
      <c r="D342" s="15"/>
    </row>
  </sheetData>
  <mergeCells count="25">
    <mergeCell ref="A184:D184"/>
    <mergeCell ref="A112:D112"/>
    <mergeCell ref="A1:D1"/>
    <mergeCell ref="A28:D28"/>
    <mergeCell ref="A2:H2"/>
    <mergeCell ref="A5:D5"/>
    <mergeCell ref="A14:H14"/>
    <mergeCell ref="A16:D16"/>
    <mergeCell ref="A25:H25"/>
    <mergeCell ref="A212:H212"/>
    <mergeCell ref="A40:D40"/>
    <mergeCell ref="A52:D52"/>
    <mergeCell ref="A64:D64"/>
    <mergeCell ref="A208:H208"/>
    <mergeCell ref="A209:H209"/>
    <mergeCell ref="A211:H211"/>
    <mergeCell ref="A76:D76"/>
    <mergeCell ref="A88:D88"/>
    <mergeCell ref="A100:D100"/>
    <mergeCell ref="A124:D124"/>
    <mergeCell ref="A136:D136"/>
    <mergeCell ref="A148:D148"/>
    <mergeCell ref="A160:D160"/>
    <mergeCell ref="A172:D172"/>
    <mergeCell ref="A196:D196"/>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7850-E140-48AF-A250-117F44B41B5E}">
  <sheetPr>
    <pageSetUpPr fitToPage="1"/>
  </sheetPr>
  <dimension ref="A1:B163"/>
  <sheetViews>
    <sheetView showGridLines="0" zoomScaleNormal="100" workbookViewId="0">
      <selection activeCell="B50" sqref="B50"/>
    </sheetView>
  </sheetViews>
  <sheetFormatPr defaultRowHeight="15" x14ac:dyDescent="0.25"/>
  <cols>
    <col min="1" max="1" width="26.5703125" style="1" customWidth="1"/>
    <col min="2" max="2" width="160.85546875" customWidth="1"/>
  </cols>
  <sheetData>
    <row r="1" spans="1:2" s="2" customFormat="1" ht="26.1" customHeight="1" x14ac:dyDescent="0.25">
      <c r="A1" s="135" t="s">
        <v>1021</v>
      </c>
      <c r="B1" s="433"/>
    </row>
    <row r="2" spans="1:2" s="2" customFormat="1" ht="74.25" customHeight="1" x14ac:dyDescent="0.25">
      <c r="A2" s="136" t="s">
        <v>1</v>
      </c>
      <c r="B2" s="433"/>
    </row>
    <row r="3" spans="1:2" s="2" customFormat="1" ht="48.6" customHeight="1" thickBot="1" x14ac:dyDescent="0.3">
      <c r="A3" s="6" t="s">
        <v>1022</v>
      </c>
      <c r="B3" s="133"/>
    </row>
    <row r="4" spans="1:2" ht="18" customHeight="1" x14ac:dyDescent="0.25">
      <c r="A4" s="8" t="s">
        <v>1023</v>
      </c>
      <c r="B4" s="9" t="s">
        <v>1024</v>
      </c>
    </row>
    <row r="5" spans="1:2" ht="15.6" customHeight="1" x14ac:dyDescent="0.25">
      <c r="A5" s="63" t="s">
        <v>1025</v>
      </c>
      <c r="B5" s="10" t="s">
        <v>1026</v>
      </c>
    </row>
    <row r="6" spans="1:2" ht="15.6" customHeight="1" x14ac:dyDescent="0.25">
      <c r="A6" s="63" t="s">
        <v>1027</v>
      </c>
      <c r="B6" s="10" t="s">
        <v>1028</v>
      </c>
    </row>
    <row r="7" spans="1:2" ht="15.6" customHeight="1" x14ac:dyDescent="0.25">
      <c r="A7" s="63" t="s">
        <v>1029</v>
      </c>
      <c r="B7" s="10" t="s">
        <v>1030</v>
      </c>
    </row>
    <row r="8" spans="1:2" ht="15.6" customHeight="1" x14ac:dyDescent="0.25">
      <c r="A8" s="63" t="s">
        <v>22</v>
      </c>
      <c r="B8" s="10" t="s">
        <v>1031</v>
      </c>
    </row>
    <row r="9" spans="1:2" ht="15.6" customHeight="1" x14ac:dyDescent="0.25">
      <c r="A9" s="63" t="s">
        <v>1032</v>
      </c>
      <c r="B9" s="10" t="s">
        <v>1033</v>
      </c>
    </row>
    <row r="10" spans="1:2" ht="15.6" customHeight="1" x14ac:dyDescent="0.25">
      <c r="A10" s="63" t="s">
        <v>1034</v>
      </c>
      <c r="B10" s="10" t="s">
        <v>1035</v>
      </c>
    </row>
    <row r="11" spans="1:2" ht="15.6" customHeight="1" x14ac:dyDescent="0.25">
      <c r="A11" s="63" t="s">
        <v>1036</v>
      </c>
      <c r="B11" s="10" t="s">
        <v>1037</v>
      </c>
    </row>
    <row r="12" spans="1:2" ht="15.6" customHeight="1" x14ac:dyDescent="0.25">
      <c r="A12" s="63" t="s">
        <v>1038</v>
      </c>
      <c r="B12" s="10" t="s">
        <v>1039</v>
      </c>
    </row>
    <row r="13" spans="1:2" ht="46.5" customHeight="1" x14ac:dyDescent="0.25">
      <c r="A13" s="63" t="s">
        <v>1040</v>
      </c>
      <c r="B13" s="10" t="s">
        <v>1041</v>
      </c>
    </row>
    <row r="14" spans="1:2" ht="46.5" customHeight="1" x14ac:dyDescent="0.25">
      <c r="A14" s="63" t="s">
        <v>1042</v>
      </c>
      <c r="B14" s="10" t="s">
        <v>1043</v>
      </c>
    </row>
    <row r="15" spans="1:2" ht="15.6" customHeight="1" x14ac:dyDescent="0.25">
      <c r="A15" s="63" t="s">
        <v>1044</v>
      </c>
      <c r="B15" s="10" t="s">
        <v>1045</v>
      </c>
    </row>
    <row r="16" spans="1:2" ht="47.25" customHeight="1" x14ac:dyDescent="0.25">
      <c r="A16" s="169" t="s">
        <v>1046</v>
      </c>
      <c r="B16" s="10" t="s">
        <v>1047</v>
      </c>
    </row>
    <row r="17" spans="1:2" ht="46.5" customHeight="1" x14ac:dyDescent="0.25">
      <c r="A17" s="434"/>
      <c r="B17" s="10" t="s">
        <v>1048</v>
      </c>
    </row>
    <row r="18" spans="1:2" ht="47.1" customHeight="1" x14ac:dyDescent="0.25">
      <c r="A18" s="169" t="s">
        <v>1049</v>
      </c>
      <c r="B18" s="10" t="s">
        <v>1050</v>
      </c>
    </row>
    <row r="19" spans="1:2" ht="46.5" customHeight="1" x14ac:dyDescent="0.25">
      <c r="A19" s="434"/>
      <c r="B19" s="10" t="s">
        <v>1051</v>
      </c>
    </row>
    <row r="20" spans="1:2" ht="30.95" customHeight="1" x14ac:dyDescent="0.25">
      <c r="A20" s="63" t="s">
        <v>1052</v>
      </c>
      <c r="B20" s="10" t="s">
        <v>1390</v>
      </c>
    </row>
    <row r="21" spans="1:2" ht="15.6" customHeight="1" x14ac:dyDescent="0.25">
      <c r="A21" s="63" t="s">
        <v>1053</v>
      </c>
      <c r="B21" s="10" t="s">
        <v>1054</v>
      </c>
    </row>
    <row r="22" spans="1:2" ht="15.6" customHeight="1" x14ac:dyDescent="0.25">
      <c r="A22" s="63" t="s">
        <v>1055</v>
      </c>
      <c r="B22" s="10" t="s">
        <v>1056</v>
      </c>
    </row>
    <row r="23" spans="1:2" ht="15.6" customHeight="1" x14ac:dyDescent="0.25">
      <c r="A23" s="63" t="s">
        <v>1057</v>
      </c>
      <c r="B23" s="10" t="s">
        <v>1058</v>
      </c>
    </row>
    <row r="24" spans="1:2" ht="46.5" customHeight="1" x14ac:dyDescent="0.25">
      <c r="A24" s="63" t="s">
        <v>1059</v>
      </c>
      <c r="B24" s="10" t="s">
        <v>1060</v>
      </c>
    </row>
    <row r="25" spans="1:2" ht="30.95" customHeight="1" x14ac:dyDescent="0.25">
      <c r="A25" s="63" t="s">
        <v>1061</v>
      </c>
      <c r="B25" s="10" t="s">
        <v>1062</v>
      </c>
    </row>
    <row r="26" spans="1:2" ht="15.6" customHeight="1" x14ac:dyDescent="0.25">
      <c r="A26" s="63" t="s">
        <v>1063</v>
      </c>
      <c r="B26" s="10" t="s">
        <v>1064</v>
      </c>
    </row>
    <row r="27" spans="1:2" ht="15.6" customHeight="1" x14ac:dyDescent="0.25">
      <c r="A27" s="63" t="s">
        <v>1065</v>
      </c>
      <c r="B27" s="10" t="s">
        <v>1066</v>
      </c>
    </row>
    <row r="28" spans="1:2" ht="15.6" customHeight="1" x14ac:dyDescent="0.25">
      <c r="A28" s="63" t="s">
        <v>42</v>
      </c>
      <c r="B28" s="10" t="s">
        <v>1067</v>
      </c>
    </row>
    <row r="29" spans="1:2" ht="15.6" customHeight="1" x14ac:dyDescent="0.25">
      <c r="A29" s="63" t="s">
        <v>24</v>
      </c>
      <c r="B29" s="10" t="s">
        <v>1068</v>
      </c>
    </row>
    <row r="30" spans="1:2" ht="15.6" customHeight="1" x14ac:dyDescent="0.25">
      <c r="A30" s="63" t="s">
        <v>1069</v>
      </c>
      <c r="B30" s="10" t="s">
        <v>1070</v>
      </c>
    </row>
    <row r="31" spans="1:2" ht="15.6" customHeight="1" x14ac:dyDescent="0.25">
      <c r="A31" s="63" t="s">
        <v>1071</v>
      </c>
      <c r="B31" s="10" t="s">
        <v>1072</v>
      </c>
    </row>
    <row r="32" spans="1:2" ht="30.95" customHeight="1" x14ac:dyDescent="0.25">
      <c r="A32" s="63" t="s">
        <v>1073</v>
      </c>
      <c r="B32" s="10" t="s">
        <v>1074</v>
      </c>
    </row>
    <row r="33" spans="1:2" ht="15.6" customHeight="1" x14ac:dyDescent="0.25">
      <c r="A33" s="63" t="s">
        <v>1075</v>
      </c>
      <c r="B33" s="10" t="s">
        <v>1076</v>
      </c>
    </row>
    <row r="34" spans="1:2" ht="30.95" customHeight="1" x14ac:dyDescent="0.25">
      <c r="A34" s="63" t="s">
        <v>1077</v>
      </c>
      <c r="B34" s="10" t="s">
        <v>1078</v>
      </c>
    </row>
    <row r="35" spans="1:2" ht="15.6" customHeight="1" x14ac:dyDescent="0.25">
      <c r="A35" s="63" t="s">
        <v>1079</v>
      </c>
      <c r="B35" s="10" t="s">
        <v>1080</v>
      </c>
    </row>
    <row r="36" spans="1:2" ht="30.95" customHeight="1" x14ac:dyDescent="0.25">
      <c r="A36" s="63" t="s">
        <v>1081</v>
      </c>
      <c r="B36" s="10" t="s">
        <v>1082</v>
      </c>
    </row>
    <row r="37" spans="1:2" ht="15.6" customHeight="1" x14ac:dyDescent="0.25">
      <c r="A37" s="63" t="s">
        <v>1083</v>
      </c>
      <c r="B37" s="10" t="s">
        <v>1084</v>
      </c>
    </row>
    <row r="38" spans="1:2" ht="15.6" customHeight="1" x14ac:dyDescent="0.25">
      <c r="A38" s="63" t="s">
        <v>1085</v>
      </c>
      <c r="B38" s="10" t="s">
        <v>1086</v>
      </c>
    </row>
    <row r="39" spans="1:2" ht="15.6" customHeight="1" x14ac:dyDescent="0.25">
      <c r="A39" s="169" t="s">
        <v>1087</v>
      </c>
      <c r="B39" s="10" t="s">
        <v>1088</v>
      </c>
    </row>
    <row r="40" spans="1:2" ht="15.6" customHeight="1" x14ac:dyDescent="0.25">
      <c r="A40" s="435"/>
      <c r="B40" s="10" t="s">
        <v>1089</v>
      </c>
    </row>
    <row r="41" spans="1:2" ht="46.5" customHeight="1" x14ac:dyDescent="0.25">
      <c r="A41" s="435"/>
      <c r="B41" s="10" t="s">
        <v>1090</v>
      </c>
    </row>
    <row r="42" spans="1:2" ht="46.5" customHeight="1" x14ac:dyDescent="0.25">
      <c r="A42" s="435"/>
      <c r="B42" s="10" t="s">
        <v>1091</v>
      </c>
    </row>
    <row r="43" spans="1:2" ht="15.6" customHeight="1" x14ac:dyDescent="0.25">
      <c r="A43" s="435"/>
      <c r="B43" s="10" t="s">
        <v>1092</v>
      </c>
    </row>
    <row r="44" spans="1:2" ht="15.6" customHeight="1" x14ac:dyDescent="0.25">
      <c r="A44" s="435"/>
      <c r="B44" s="10" t="s">
        <v>1093</v>
      </c>
    </row>
    <row r="45" spans="1:2" ht="15.6" customHeight="1" x14ac:dyDescent="0.25">
      <c r="A45" s="434"/>
      <c r="B45" s="10" t="s">
        <v>1094</v>
      </c>
    </row>
    <row r="46" spans="1:2" ht="15.6" customHeight="1" x14ac:dyDescent="0.25">
      <c r="A46" s="63" t="s">
        <v>1095</v>
      </c>
      <c r="B46" s="10" t="s">
        <v>1096</v>
      </c>
    </row>
    <row r="47" spans="1:2" ht="30.95" customHeight="1" x14ac:dyDescent="0.25">
      <c r="A47" s="169" t="s">
        <v>1097</v>
      </c>
      <c r="B47" s="10" t="s">
        <v>1098</v>
      </c>
    </row>
    <row r="48" spans="1:2" ht="15.6" customHeight="1" x14ac:dyDescent="0.25">
      <c r="A48" s="435"/>
      <c r="B48" s="10" t="s">
        <v>1099</v>
      </c>
    </row>
    <row r="49" spans="1:2" ht="15.6" customHeight="1" x14ac:dyDescent="0.25">
      <c r="A49" s="434"/>
      <c r="B49" s="10" t="s">
        <v>1100</v>
      </c>
    </row>
    <row r="50" spans="1:2" ht="15.75" customHeight="1" x14ac:dyDescent="0.25">
      <c r="A50" s="169" t="s">
        <v>1391</v>
      </c>
      <c r="B50" s="34" t="s">
        <v>1392</v>
      </c>
    </row>
    <row r="51" spans="1:2" ht="15.6" customHeight="1" x14ac:dyDescent="0.25">
      <c r="A51" s="435"/>
      <c r="B51" s="10" t="s">
        <v>1101</v>
      </c>
    </row>
    <row r="52" spans="1:2" ht="35.450000000000003" customHeight="1" x14ac:dyDescent="0.25">
      <c r="A52" s="435"/>
      <c r="B52" s="10" t="s">
        <v>1102</v>
      </c>
    </row>
    <row r="53" spans="1:2" ht="86.25" customHeight="1" x14ac:dyDescent="0.25">
      <c r="A53" s="435"/>
      <c r="B53" s="10" t="s">
        <v>1103</v>
      </c>
    </row>
    <row r="54" spans="1:2" ht="87.6" customHeight="1" x14ac:dyDescent="0.25">
      <c r="A54" s="435"/>
      <c r="B54" s="10" t="s">
        <v>1104</v>
      </c>
    </row>
    <row r="55" spans="1:2" ht="30.95" customHeight="1" x14ac:dyDescent="0.25">
      <c r="A55" s="435"/>
      <c r="B55" s="10" t="s">
        <v>1105</v>
      </c>
    </row>
    <row r="56" spans="1:2" ht="77.45" customHeight="1" x14ac:dyDescent="0.25">
      <c r="A56" s="435"/>
      <c r="B56" s="10" t="s">
        <v>1106</v>
      </c>
    </row>
    <row r="57" spans="1:2" ht="15.6" customHeight="1" x14ac:dyDescent="0.25">
      <c r="A57" s="435"/>
      <c r="B57" s="10" t="s">
        <v>1107</v>
      </c>
    </row>
    <row r="58" spans="1:2" ht="30.95" customHeight="1" x14ac:dyDescent="0.25">
      <c r="A58" s="435"/>
      <c r="B58" s="10" t="s">
        <v>1108</v>
      </c>
    </row>
    <row r="59" spans="1:2" ht="15.6" customHeight="1" x14ac:dyDescent="0.25">
      <c r="A59" s="434"/>
      <c r="B59" s="10" t="s">
        <v>1393</v>
      </c>
    </row>
    <row r="60" spans="1:2" ht="15.75" customHeight="1" x14ac:dyDescent="0.25">
      <c r="A60" s="170" t="s">
        <v>1394</v>
      </c>
      <c r="B60" s="37" t="s">
        <v>1395</v>
      </c>
    </row>
    <row r="61" spans="1:2" ht="15.6" customHeight="1" x14ac:dyDescent="0.25">
      <c r="A61" s="435"/>
      <c r="B61" s="436" t="s">
        <v>1396</v>
      </c>
    </row>
    <row r="62" spans="1:2" ht="15.6" customHeight="1" x14ac:dyDescent="0.25">
      <c r="A62" s="435"/>
      <c r="B62" s="436" t="s">
        <v>1397</v>
      </c>
    </row>
    <row r="63" spans="1:2" ht="30.95" customHeight="1" x14ac:dyDescent="0.25">
      <c r="A63" s="435"/>
      <c r="B63" s="36" t="s">
        <v>1398</v>
      </c>
    </row>
    <row r="64" spans="1:2" ht="77.45" customHeight="1" x14ac:dyDescent="0.25">
      <c r="A64" s="434"/>
      <c r="B64" s="36" t="s">
        <v>1399</v>
      </c>
    </row>
    <row r="65" spans="1:2" ht="15.6" customHeight="1" x14ac:dyDescent="0.25">
      <c r="A65" s="170" t="s">
        <v>1400</v>
      </c>
      <c r="B65" s="34" t="s">
        <v>1401</v>
      </c>
    </row>
    <row r="66" spans="1:2" ht="15.6" customHeight="1" x14ac:dyDescent="0.25">
      <c r="A66" s="435"/>
      <c r="B66" s="10" t="s">
        <v>1402</v>
      </c>
    </row>
    <row r="67" spans="1:2" ht="66.599999999999994" customHeight="1" x14ac:dyDescent="0.25">
      <c r="A67" s="435"/>
      <c r="B67" s="10" t="s">
        <v>1403</v>
      </c>
    </row>
    <row r="68" spans="1:2" ht="46.5" customHeight="1" x14ac:dyDescent="0.25">
      <c r="A68" s="435"/>
      <c r="B68" s="10" t="s">
        <v>1404</v>
      </c>
    </row>
    <row r="69" spans="1:2" ht="30.95" customHeight="1" x14ac:dyDescent="0.25">
      <c r="A69" s="435"/>
      <c r="B69" s="10" t="s">
        <v>1390</v>
      </c>
    </row>
    <row r="70" spans="1:2" ht="15.6" customHeight="1" x14ac:dyDescent="0.25">
      <c r="A70" s="434"/>
      <c r="B70" s="10" t="s">
        <v>1393</v>
      </c>
    </row>
    <row r="71" spans="1:2" ht="15.6" customHeight="1" x14ac:dyDescent="0.25">
      <c r="A71" s="170" t="s">
        <v>1112</v>
      </c>
      <c r="B71" s="34" t="s">
        <v>1405</v>
      </c>
    </row>
    <row r="72" spans="1:2" ht="15.6" customHeight="1" x14ac:dyDescent="0.25">
      <c r="A72" s="435"/>
      <c r="B72" s="10" t="s">
        <v>1113</v>
      </c>
    </row>
    <row r="73" spans="1:2" ht="83.45" customHeight="1" x14ac:dyDescent="0.25">
      <c r="A73" s="435"/>
      <c r="B73" s="10" t="s">
        <v>1111</v>
      </c>
    </row>
    <row r="74" spans="1:2" ht="77.45" customHeight="1" x14ac:dyDescent="0.25">
      <c r="A74" s="435"/>
      <c r="B74" s="11" t="s">
        <v>1106</v>
      </c>
    </row>
    <row r="75" spans="1:2" ht="15.6" customHeight="1" x14ac:dyDescent="0.25">
      <c r="A75" s="435"/>
      <c r="B75" s="10" t="s">
        <v>1107</v>
      </c>
    </row>
    <row r="76" spans="1:2" ht="30.95" customHeight="1" x14ac:dyDescent="0.25">
      <c r="A76" s="435"/>
      <c r="B76" s="10" t="s">
        <v>1406</v>
      </c>
    </row>
    <row r="77" spans="1:2" ht="15.6" customHeight="1" x14ac:dyDescent="0.25">
      <c r="A77" s="435"/>
      <c r="B77" s="10" t="s">
        <v>1114</v>
      </c>
    </row>
    <row r="78" spans="1:2" ht="15.6" customHeight="1" x14ac:dyDescent="0.25">
      <c r="A78" s="434"/>
      <c r="B78" s="10" t="s">
        <v>1393</v>
      </c>
    </row>
    <row r="79" spans="1:2" ht="15.6" customHeight="1" x14ac:dyDescent="0.25">
      <c r="A79" s="171" t="s">
        <v>1407</v>
      </c>
      <c r="B79" s="34" t="s">
        <v>1408</v>
      </c>
    </row>
    <row r="80" spans="1:2" ht="15.6" customHeight="1" x14ac:dyDescent="0.25">
      <c r="A80" s="435"/>
      <c r="B80" s="10" t="s">
        <v>1113</v>
      </c>
    </row>
    <row r="81" spans="1:2" ht="30.95" customHeight="1" x14ac:dyDescent="0.25">
      <c r="A81" s="435"/>
      <c r="B81" s="10" t="s">
        <v>1105</v>
      </c>
    </row>
    <row r="82" spans="1:2" ht="15.6" customHeight="1" x14ac:dyDescent="0.25">
      <c r="A82" s="435"/>
      <c r="B82" s="10" t="s">
        <v>1115</v>
      </c>
    </row>
    <row r="83" spans="1:2" ht="46.5" customHeight="1" x14ac:dyDescent="0.25">
      <c r="A83" s="435"/>
      <c r="B83" s="10" t="s">
        <v>1116</v>
      </c>
    </row>
    <row r="84" spans="1:2" ht="15.6" customHeight="1" x14ac:dyDescent="0.25">
      <c r="A84" s="435"/>
      <c r="B84" s="10" t="s">
        <v>1117</v>
      </c>
    </row>
    <row r="85" spans="1:2" ht="15.6" customHeight="1" x14ac:dyDescent="0.25">
      <c r="A85" s="435"/>
      <c r="B85" s="10" t="s">
        <v>1118</v>
      </c>
    </row>
    <row r="86" spans="1:2" ht="15.6" customHeight="1" x14ac:dyDescent="0.25">
      <c r="A86" s="435"/>
      <c r="B86" s="10" t="s">
        <v>1107</v>
      </c>
    </row>
    <row r="87" spans="1:2" ht="77.45" customHeight="1" x14ac:dyDescent="0.25">
      <c r="A87" s="435"/>
      <c r="B87" s="10" t="s">
        <v>1111</v>
      </c>
    </row>
    <row r="88" spans="1:2" ht="15.6" customHeight="1" x14ac:dyDescent="0.25">
      <c r="A88" s="434"/>
      <c r="B88" s="10" t="s">
        <v>1393</v>
      </c>
    </row>
    <row r="89" spans="1:2" ht="15.6" customHeight="1" x14ac:dyDescent="0.25">
      <c r="A89" s="172" t="s">
        <v>1409</v>
      </c>
      <c r="B89" s="13" t="s">
        <v>1410</v>
      </c>
    </row>
    <row r="90" spans="1:2" ht="15.6" customHeight="1" x14ac:dyDescent="0.25">
      <c r="A90" s="435"/>
      <c r="B90" s="34" t="s">
        <v>1395</v>
      </c>
    </row>
    <row r="91" spans="1:2" ht="15.6" customHeight="1" x14ac:dyDescent="0.25">
      <c r="A91" s="435"/>
      <c r="B91" s="13" t="s">
        <v>1113</v>
      </c>
    </row>
    <row r="92" spans="1:2" ht="15.6" customHeight="1" x14ac:dyDescent="0.25">
      <c r="A92" s="435"/>
      <c r="B92" s="12" t="s">
        <v>1411</v>
      </c>
    </row>
    <row r="93" spans="1:2" ht="62.1" customHeight="1" x14ac:dyDescent="0.25">
      <c r="A93" s="435"/>
      <c r="B93" s="13" t="s">
        <v>1412</v>
      </c>
    </row>
    <row r="94" spans="1:2" ht="30.95" customHeight="1" x14ac:dyDescent="0.25">
      <c r="A94" s="435"/>
      <c r="B94" s="13" t="s">
        <v>1413</v>
      </c>
    </row>
    <row r="95" spans="1:2" ht="48.95" customHeight="1" x14ac:dyDescent="0.25">
      <c r="A95" s="435"/>
      <c r="B95" s="13" t="s">
        <v>1414</v>
      </c>
    </row>
    <row r="96" spans="1:2" ht="30.95" customHeight="1" x14ac:dyDescent="0.25">
      <c r="A96" s="435"/>
      <c r="B96" s="13" t="s">
        <v>1415</v>
      </c>
    </row>
    <row r="97" spans="1:2" ht="143.44999999999999" customHeight="1" x14ac:dyDescent="0.25">
      <c r="A97" s="435"/>
      <c r="B97" s="13" t="s">
        <v>1416</v>
      </c>
    </row>
    <row r="98" spans="1:2" ht="66" customHeight="1" x14ac:dyDescent="0.25">
      <c r="A98" s="434"/>
      <c r="B98" s="13" t="s">
        <v>1417</v>
      </c>
    </row>
    <row r="99" spans="1:2" ht="30.95" customHeight="1" x14ac:dyDescent="0.25">
      <c r="A99" s="172" t="s">
        <v>1119</v>
      </c>
      <c r="B99" s="13" t="s">
        <v>1120</v>
      </c>
    </row>
    <row r="100" spans="1:2" ht="147.94999999999999" customHeight="1" x14ac:dyDescent="0.25">
      <c r="A100" s="435"/>
      <c r="B100" s="35" t="s">
        <v>1418</v>
      </c>
    </row>
    <row r="101" spans="1:2" ht="15.6" customHeight="1" x14ac:dyDescent="0.25">
      <c r="A101" s="435"/>
      <c r="B101" s="13" t="s">
        <v>1121</v>
      </c>
    </row>
    <row r="102" spans="1:2" ht="15.6" customHeight="1" x14ac:dyDescent="0.25">
      <c r="A102" s="435"/>
      <c r="B102" s="36" t="s">
        <v>1393</v>
      </c>
    </row>
    <row r="103" spans="1:2" ht="30.95" customHeight="1" x14ac:dyDescent="0.25">
      <c r="A103" s="435"/>
      <c r="B103" s="37" t="s">
        <v>1122</v>
      </c>
    </row>
    <row r="104" spans="1:2" ht="15.6" customHeight="1" x14ac:dyDescent="0.25">
      <c r="A104" s="434"/>
      <c r="B104" s="13" t="s">
        <v>1419</v>
      </c>
    </row>
    <row r="105" spans="1:2" ht="15.6" customHeight="1" x14ac:dyDescent="0.25">
      <c r="A105" s="171" t="s">
        <v>1123</v>
      </c>
      <c r="B105" s="13" t="s">
        <v>1395</v>
      </c>
    </row>
    <row r="106" spans="1:2" ht="15.6" customHeight="1" x14ac:dyDescent="0.25">
      <c r="A106" s="435"/>
      <c r="B106" s="37" t="s">
        <v>1420</v>
      </c>
    </row>
    <row r="107" spans="1:2" ht="15.6" customHeight="1" x14ac:dyDescent="0.25">
      <c r="A107" s="435"/>
      <c r="B107" s="436" t="s">
        <v>1109</v>
      </c>
    </row>
    <row r="108" spans="1:2" ht="30.95" customHeight="1" x14ac:dyDescent="0.25">
      <c r="A108" s="435"/>
      <c r="B108" s="36" t="s">
        <v>1398</v>
      </c>
    </row>
    <row r="109" spans="1:2" ht="77.45" customHeight="1" x14ac:dyDescent="0.25">
      <c r="A109" s="435"/>
      <c r="B109" s="36" t="s">
        <v>1421</v>
      </c>
    </row>
    <row r="110" spans="1:2" ht="15.6" customHeight="1" x14ac:dyDescent="0.25">
      <c r="A110" s="435"/>
      <c r="B110" s="10" t="s">
        <v>1110</v>
      </c>
    </row>
    <row r="111" spans="1:2" ht="15.6" customHeight="1" x14ac:dyDescent="0.25">
      <c r="A111" s="435"/>
      <c r="B111" s="13" t="s">
        <v>1422</v>
      </c>
    </row>
    <row r="112" spans="1:2" ht="15.6" customHeight="1" x14ac:dyDescent="0.25">
      <c r="A112" s="435"/>
      <c r="B112" s="13" t="s">
        <v>1423</v>
      </c>
    </row>
    <row r="113" spans="1:2" ht="21" customHeight="1" x14ac:dyDescent="0.25">
      <c r="A113" s="435"/>
      <c r="B113" s="13" t="s">
        <v>1424</v>
      </c>
    </row>
    <row r="114" spans="1:2" ht="30.95" customHeight="1" x14ac:dyDescent="0.25">
      <c r="A114" s="434"/>
      <c r="B114" s="13" t="s">
        <v>1124</v>
      </c>
    </row>
    <row r="115" spans="1:2" ht="15.6" customHeight="1" x14ac:dyDescent="0.25">
      <c r="A115" s="170" t="s">
        <v>1125</v>
      </c>
      <c r="B115" s="11" t="s">
        <v>1425</v>
      </c>
    </row>
    <row r="116" spans="1:2" ht="15.6" customHeight="1" x14ac:dyDescent="0.25">
      <c r="A116" s="435"/>
      <c r="B116" s="12" t="s">
        <v>1126</v>
      </c>
    </row>
    <row r="117" spans="1:2" ht="15.6" customHeight="1" x14ac:dyDescent="0.25">
      <c r="A117" s="435"/>
      <c r="B117" s="12" t="s">
        <v>1127</v>
      </c>
    </row>
    <row r="118" spans="1:2" ht="15.6" customHeight="1" x14ac:dyDescent="0.25">
      <c r="A118" s="435"/>
      <c r="B118" s="12" t="s">
        <v>1128</v>
      </c>
    </row>
    <row r="119" spans="1:2" ht="15.6" customHeight="1" x14ac:dyDescent="0.25">
      <c r="A119" s="434"/>
      <c r="B119" s="12" t="s">
        <v>1129</v>
      </c>
    </row>
    <row r="120" spans="1:2" ht="15.6" customHeight="1" x14ac:dyDescent="0.25">
      <c r="A120" s="437" t="s">
        <v>1130</v>
      </c>
      <c r="B120" s="12" t="s">
        <v>1131</v>
      </c>
    </row>
    <row r="121" spans="1:2" ht="16.5" customHeight="1" x14ac:dyDescent="0.25">
      <c r="A121" s="437"/>
      <c r="B121" s="12" t="s">
        <v>1426</v>
      </c>
    </row>
    <row r="122" spans="1:2" ht="16.5" customHeight="1" x14ac:dyDescent="0.25">
      <c r="A122" s="437"/>
      <c r="B122" s="12" t="s">
        <v>1427</v>
      </c>
    </row>
    <row r="123" spans="1:2" ht="16.5" customHeight="1" x14ac:dyDescent="0.25">
      <c r="A123" s="437"/>
      <c r="B123" s="12" t="s">
        <v>1428</v>
      </c>
    </row>
    <row r="124" spans="1:2" ht="15.6" customHeight="1" x14ac:dyDescent="0.25">
      <c r="A124" s="437"/>
      <c r="B124" s="11" t="s">
        <v>1429</v>
      </c>
    </row>
    <row r="125" spans="1:2" ht="15.6" customHeight="1" x14ac:dyDescent="0.25">
      <c r="A125" s="437"/>
      <c r="B125" s="11" t="s">
        <v>1430</v>
      </c>
    </row>
    <row r="126" spans="1:2" ht="15.6" customHeight="1" x14ac:dyDescent="0.25">
      <c r="A126" s="437"/>
      <c r="B126" s="12" t="s">
        <v>1132</v>
      </c>
    </row>
    <row r="127" spans="1:2" ht="15.6" customHeight="1" x14ac:dyDescent="0.25">
      <c r="A127" s="437"/>
      <c r="B127" s="12" t="s">
        <v>1426</v>
      </c>
    </row>
    <row r="128" spans="1:2" ht="15.6" customHeight="1" x14ac:dyDescent="0.25">
      <c r="A128" s="437"/>
      <c r="B128" s="12" t="s">
        <v>1427</v>
      </c>
    </row>
    <row r="129" spans="1:2" ht="30.95" customHeight="1" x14ac:dyDescent="0.25">
      <c r="A129" s="437"/>
      <c r="B129" s="12" t="s">
        <v>1428</v>
      </c>
    </row>
    <row r="130" spans="1:2" ht="65.099999999999994" customHeight="1" x14ac:dyDescent="0.25">
      <c r="A130" s="437"/>
      <c r="B130" s="11" t="s">
        <v>1429</v>
      </c>
    </row>
    <row r="131" spans="1:2" ht="15.6" customHeight="1" x14ac:dyDescent="0.25">
      <c r="A131" s="437"/>
      <c r="B131" s="11" t="s">
        <v>1431</v>
      </c>
    </row>
    <row r="132" spans="1:2" ht="30.95" customHeight="1" x14ac:dyDescent="0.25">
      <c r="A132" s="437"/>
      <c r="B132" s="12" t="s">
        <v>1133</v>
      </c>
    </row>
    <row r="133" spans="1:2" ht="15.6" customHeight="1" x14ac:dyDescent="0.25">
      <c r="A133" s="437"/>
      <c r="B133" s="12" t="s">
        <v>1426</v>
      </c>
    </row>
    <row r="134" spans="1:2" ht="30.95" customHeight="1" x14ac:dyDescent="0.25">
      <c r="A134" s="437"/>
      <c r="B134" s="12" t="s">
        <v>1427</v>
      </c>
    </row>
    <row r="135" spans="1:2" ht="87.95" customHeight="1" x14ac:dyDescent="0.25">
      <c r="A135" s="437"/>
      <c r="B135" s="12" t="s">
        <v>1428</v>
      </c>
    </row>
    <row r="136" spans="1:2" ht="21.6" customHeight="1" x14ac:dyDescent="0.25">
      <c r="A136" s="437"/>
      <c r="B136" s="11" t="s">
        <v>1429</v>
      </c>
    </row>
    <row r="137" spans="1:2" ht="69.95" customHeight="1" x14ac:dyDescent="0.25">
      <c r="A137" s="437"/>
      <c r="B137" s="11" t="s">
        <v>1432</v>
      </c>
    </row>
    <row r="138" spans="1:2" ht="15.6" customHeight="1" x14ac:dyDescent="0.25">
      <c r="A138" s="437"/>
      <c r="B138" s="12" t="s">
        <v>1134</v>
      </c>
    </row>
    <row r="139" spans="1:2" ht="15.6" customHeight="1" x14ac:dyDescent="0.25">
      <c r="A139" s="437"/>
      <c r="B139" s="12" t="s">
        <v>1426</v>
      </c>
    </row>
    <row r="140" spans="1:2" ht="15.6" customHeight="1" x14ac:dyDescent="0.25">
      <c r="A140" s="437"/>
      <c r="B140" s="12" t="s">
        <v>1427</v>
      </c>
    </row>
    <row r="141" spans="1:2" ht="15.6" customHeight="1" x14ac:dyDescent="0.25">
      <c r="A141" s="437"/>
      <c r="B141" s="12" t="s">
        <v>1428</v>
      </c>
    </row>
    <row r="142" spans="1:2" ht="15.6" customHeight="1" x14ac:dyDescent="0.25">
      <c r="A142" s="437"/>
      <c r="B142" s="11" t="s">
        <v>1429</v>
      </c>
    </row>
    <row r="143" spans="1:2" ht="15.6" customHeight="1" x14ac:dyDescent="0.25">
      <c r="A143" s="437"/>
      <c r="B143" s="11" t="s">
        <v>1135</v>
      </c>
    </row>
    <row r="144" spans="1:2" ht="15.6" customHeight="1" x14ac:dyDescent="0.25">
      <c r="A144" s="437"/>
      <c r="B144" s="11"/>
    </row>
    <row r="145" spans="1:2" ht="15.6" customHeight="1" x14ac:dyDescent="0.25">
      <c r="A145" s="437"/>
      <c r="B145" s="11" t="s">
        <v>1433</v>
      </c>
    </row>
    <row r="146" spans="1:2" ht="15.95" customHeight="1" x14ac:dyDescent="0.25">
      <c r="A146" s="437"/>
      <c r="B146" s="11" t="s">
        <v>1136</v>
      </c>
    </row>
    <row r="147" spans="1:2" ht="31.5" x14ac:dyDescent="0.25">
      <c r="A147" s="437"/>
      <c r="B147" s="11" t="s">
        <v>1434</v>
      </c>
    </row>
    <row r="148" spans="1:2" ht="15.75" x14ac:dyDescent="0.25">
      <c r="A148" s="437"/>
      <c r="B148" s="11" t="s">
        <v>1101</v>
      </c>
    </row>
    <row r="149" spans="1:2" ht="31.5" x14ac:dyDescent="0.25">
      <c r="A149" s="437"/>
      <c r="B149" s="11" t="s">
        <v>1137</v>
      </c>
    </row>
    <row r="150" spans="1:2" ht="78.75" x14ac:dyDescent="0.25">
      <c r="A150" s="437"/>
      <c r="B150" s="11" t="s">
        <v>1435</v>
      </c>
    </row>
    <row r="151" spans="1:2" ht="15.75" x14ac:dyDescent="0.25">
      <c r="A151" s="437"/>
      <c r="B151" s="11" t="s">
        <v>1402</v>
      </c>
    </row>
    <row r="152" spans="1:2" ht="63" x14ac:dyDescent="0.25">
      <c r="A152" s="437"/>
      <c r="B152" s="10" t="s">
        <v>1403</v>
      </c>
    </row>
    <row r="153" spans="1:2" ht="126" x14ac:dyDescent="0.25">
      <c r="A153" s="437"/>
      <c r="B153" s="10" t="s">
        <v>1436</v>
      </c>
    </row>
    <row r="154" spans="1:2" ht="78.75" x14ac:dyDescent="0.25">
      <c r="A154" s="437"/>
      <c r="B154" s="10" t="s">
        <v>1437</v>
      </c>
    </row>
    <row r="155" spans="1:2" ht="15.75" x14ac:dyDescent="0.25">
      <c r="A155" s="437"/>
      <c r="B155" s="11" t="s">
        <v>1138</v>
      </c>
    </row>
    <row r="156" spans="1:2" ht="15.75" x14ac:dyDescent="0.25">
      <c r="A156" s="438" t="s">
        <v>1139</v>
      </c>
      <c r="B156" s="11" t="s">
        <v>1140</v>
      </c>
    </row>
    <row r="157" spans="1:2" ht="15.75" x14ac:dyDescent="0.25">
      <c r="A157" s="438"/>
      <c r="B157" s="11" t="s">
        <v>1141</v>
      </c>
    </row>
    <row r="158" spans="1:2" ht="15.75" x14ac:dyDescent="0.25">
      <c r="A158" s="438"/>
      <c r="B158" s="11" t="s">
        <v>1142</v>
      </c>
    </row>
    <row r="159" spans="1:2" ht="15.75" x14ac:dyDescent="0.25">
      <c r="A159" s="438"/>
      <c r="B159" s="11" t="s">
        <v>1143</v>
      </c>
    </row>
    <row r="160" spans="1:2" ht="15.75" x14ac:dyDescent="0.25">
      <c r="A160" s="438"/>
      <c r="B160" s="11" t="s">
        <v>1144</v>
      </c>
    </row>
    <row r="161" spans="1:2" ht="15.75" x14ac:dyDescent="0.25">
      <c r="A161" s="438"/>
      <c r="B161" s="11" t="s">
        <v>1145</v>
      </c>
    </row>
    <row r="162" spans="1:2" ht="15.75" x14ac:dyDescent="0.25">
      <c r="A162" s="438"/>
      <c r="B162" s="11" t="s">
        <v>1146</v>
      </c>
    </row>
    <row r="163" spans="1:2" ht="16.5" thickBot="1" x14ac:dyDescent="0.3">
      <c r="A163" s="439"/>
      <c r="B163" s="38" t="s">
        <v>1438</v>
      </c>
    </row>
  </sheetData>
  <mergeCells count="17">
    <mergeCell ref="A99:A104"/>
    <mergeCell ref="A105:A114"/>
    <mergeCell ref="A115:A119"/>
    <mergeCell ref="A120:A155"/>
    <mergeCell ref="A156:A163"/>
    <mergeCell ref="A50:A59"/>
    <mergeCell ref="A60:A64"/>
    <mergeCell ref="A65:A70"/>
    <mergeCell ref="A71:A78"/>
    <mergeCell ref="A79:A88"/>
    <mergeCell ref="A89:A98"/>
    <mergeCell ref="A1:B1"/>
    <mergeCell ref="A2:B2"/>
    <mergeCell ref="A16:A17"/>
    <mergeCell ref="A18:A19"/>
    <mergeCell ref="A39:A45"/>
    <mergeCell ref="A47:A49"/>
  </mergeCells>
  <pageMargins left="0.25" right="0.25" top="0.75" bottom="0.75" header="0.3" footer="0.3"/>
  <pageSetup scale="14" fitToWidth="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4.xml><?xml version="1.0" encoding="utf-8"?>
<?mso-contentType ?>
<SharedContentType xmlns="Microsoft.SharePoint.Taxonomy.ContentTypeSync" SourceId="526ce853-7349-4a33-988e-bfef8f1d57f1" ContentTypeId="0x0101"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A096FD97-4CA9-442A-8A48-4102C38DEE0B}"/>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schemas.microsoft.com/office/2006/metadata/properties"/>
    <ds:schemaRef ds:uri="http://purl.org/dc/dcmitype/"/>
    <ds:schemaRef ds:uri="http://purl.org/dc/elements/1.1/"/>
    <ds:schemaRef ds:uri="http://schemas.microsoft.com/office/2006/documentManagement/types"/>
    <ds:schemaRef ds:uri="9225b539-7b15-42b2-871d-c20cb6e17ae7"/>
    <ds:schemaRef ds:uri="http://purl.org/dc/terms/"/>
    <ds:schemaRef ds:uri="http://schemas.microsoft.com/office/infopath/2007/PartnerControls"/>
    <ds:schemaRef ds:uri="http://www.w3.org/XML/1998/namespace"/>
    <ds:schemaRef ds:uri="http://schemas.openxmlformats.org/package/2006/metadata/core-properties"/>
    <ds:schemaRef ds:uri="05406d35-483f-4764-b870-52cf804e2a10"/>
    <ds:schemaRef ds:uri="http://schemas.microsoft.com/sharepoint/v3"/>
  </ds:schemaRefs>
</ds:datastoreItem>
</file>

<file path=customXml/itemProps4.xml><?xml version="1.0" encoding="utf-8"?>
<ds:datastoreItem xmlns:ds="http://schemas.openxmlformats.org/officeDocument/2006/customXml" ds:itemID="{45BF6D79-4AD5-4157-80BF-1C163C2313B7}"/>
</file>

<file path=customXml/itemProps5.xml><?xml version="1.0" encoding="utf-8"?>
<ds:datastoreItem xmlns:ds="http://schemas.openxmlformats.org/officeDocument/2006/customXml" ds:itemID="{7E072D79-AC89-458A-A69D-17CC02035A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LESA STU</cp:lastModifiedBy>
  <cp:revision/>
  <dcterms:created xsi:type="dcterms:W3CDTF">2020-01-31T18:40:16Z</dcterms:created>
  <dcterms:modified xsi:type="dcterms:W3CDTF">2026-07-20T14:25:07Z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